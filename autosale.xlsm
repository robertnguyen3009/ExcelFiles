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\Documents\Docs\"/>
    </mc:Choice>
  </mc:AlternateContent>
  <xr:revisionPtr revIDLastSave="0" documentId="13_ncr:1_{1DD233D1-A9FD-4B6F-8FD6-702E50E63C64}" xr6:coauthVersionLast="46" xr6:coauthVersionMax="46" xr10:uidLastSave="{00000000-0000-0000-0000-000000000000}"/>
  <bookViews>
    <workbookView xWindow="-120" yWindow="-120" windowWidth="29040" windowHeight="15840" xr2:uid="{20E0B9B6-9B32-4F1F-BA93-FEF2A94D9201}"/>
  </bookViews>
  <sheets>
    <sheet name="Sheet2" sheetId="2" r:id="rId1"/>
    <sheet name="Sheet4" sheetId="4" r:id="rId2"/>
    <sheet name="Sheet5" sheetId="5" r:id="rId3"/>
  </sheets>
  <definedNames>
    <definedName name="_xlnm._FilterDatabase" localSheetId="0" hidden="1">Sheet2!$A$10:$P$10</definedName>
    <definedName name="_xlnm._FilterDatabase" localSheetId="2" hidden="1">Sheet5!$A$5:$O$5</definedName>
    <definedName name="Bottom">#REF!</definedName>
    <definedName name="CDNPop">#REF!</definedName>
    <definedName name="USPop">#REF!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1" i="5" l="1"/>
  <c r="N19" i="5"/>
  <c r="N23" i="5"/>
  <c r="N22" i="5"/>
  <c r="N12" i="5"/>
  <c r="N9" i="5"/>
  <c r="N20" i="5"/>
  <c r="N15" i="5"/>
  <c r="N8" i="5"/>
  <c r="N14" i="5"/>
  <c r="N21" i="5"/>
  <c r="N16" i="5"/>
  <c r="N7" i="5"/>
  <c r="N18" i="5"/>
  <c r="N6" i="5"/>
  <c r="N10" i="5"/>
  <c r="N13" i="5"/>
  <c r="N17" i="5"/>
  <c r="A12" i="2" l="1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5" i="2"/>
  <c r="A102" i="2"/>
  <c r="A103" i="2"/>
  <c r="A104" i="2"/>
  <c r="A106" i="2"/>
  <c r="A107" i="2"/>
  <c r="A110" i="2"/>
  <c r="A108" i="2"/>
  <c r="A109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7" i="2"/>
  <c r="A186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8" i="2"/>
  <c r="A224" i="2"/>
  <c r="A225" i="2"/>
  <c r="A226" i="2"/>
  <c r="A227" i="2"/>
  <c r="A229" i="2"/>
  <c r="A230" i="2"/>
  <c r="A232" i="2"/>
  <c r="A231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4" i="2"/>
  <c r="A272" i="2"/>
  <c r="A273" i="2"/>
  <c r="A275" i="2"/>
  <c r="A276" i="2"/>
  <c r="A277" i="2"/>
  <c r="A278" i="2"/>
  <c r="A279" i="2"/>
  <c r="A280" i="2"/>
  <c r="A281" i="2"/>
  <c r="A283" i="2"/>
  <c r="A282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11" i="2"/>
  <c r="P280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5" i="2"/>
  <c r="P102" i="2"/>
  <c r="P103" i="2"/>
  <c r="P104" i="2"/>
  <c r="P106" i="2"/>
  <c r="P107" i="2"/>
  <c r="P110" i="2"/>
  <c r="P108" i="2"/>
  <c r="P109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7" i="2"/>
  <c r="P186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8" i="2"/>
  <c r="P224" i="2"/>
  <c r="P225" i="2"/>
  <c r="P226" i="2"/>
  <c r="P227" i="2"/>
  <c r="P229" i="2"/>
  <c r="P230" i="2"/>
  <c r="P232" i="2"/>
  <c r="P231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4" i="2"/>
  <c r="P272" i="2"/>
  <c r="P273" i="2"/>
  <c r="P275" i="2"/>
  <c r="P276" i="2"/>
  <c r="P277" i="2"/>
  <c r="P278" i="2"/>
  <c r="P279" i="2"/>
  <c r="P281" i="2"/>
  <c r="P283" i="2"/>
  <c r="P282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11" i="2"/>
  <c r="R3" i="2" l="1"/>
</calcChain>
</file>

<file path=xl/sharedStrings.xml><?xml version="1.0" encoding="utf-8"?>
<sst xmlns="http://schemas.openxmlformats.org/spreadsheetml/2006/main" count="694" uniqueCount="354">
  <si>
    <t>Make</t>
  </si>
  <si>
    <t>Model</t>
  </si>
  <si>
    <t>Acura</t>
  </si>
  <si>
    <t>ILX</t>
  </si>
  <si>
    <t>MDX</t>
  </si>
  <si>
    <t>NSX</t>
  </si>
  <si>
    <t>RDX</t>
  </si>
  <si>
    <t>RLX</t>
  </si>
  <si>
    <t>TLX</t>
  </si>
  <si>
    <t>Alfa Romeo</t>
  </si>
  <si>
    <t>4C</t>
  </si>
  <si>
    <t>Mazda CX-30</t>
  </si>
  <si>
    <t>Car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</si>
  <si>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</si>
  <si>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</si>
  <si>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</si>
  <si>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</si>
  <si>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</si>
  <si>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</si>
  <si>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</si>
  <si>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</si>
  <si>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</si>
  <si>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</si>
  <si>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</si>
  <si>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</si>
  <si>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</si>
  <si>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Audi</t>
  </si>
  <si>
    <t>BMW</t>
  </si>
  <si>
    <t>Buick</t>
  </si>
  <si>
    <t>Cadillac</t>
  </si>
  <si>
    <t>Chevrolet</t>
  </si>
  <si>
    <t>Chrysler</t>
  </si>
  <si>
    <t>Dodge</t>
  </si>
  <si>
    <t>Fiat</t>
  </si>
  <si>
    <t>Ford</t>
  </si>
  <si>
    <t>Genesis</t>
  </si>
  <si>
    <t>GMC</t>
  </si>
  <si>
    <t>Honda</t>
  </si>
  <si>
    <t>Hyundai</t>
  </si>
  <si>
    <t>Infiniti</t>
  </si>
  <si>
    <t>Jaguar</t>
  </si>
  <si>
    <t>Jeep</t>
  </si>
  <si>
    <t>Kia</t>
  </si>
  <si>
    <t>Lexus</t>
  </si>
  <si>
    <t>Lincoln</t>
  </si>
  <si>
    <t>Mazda</t>
  </si>
  <si>
    <t>Mini</t>
  </si>
  <si>
    <t>Mitsubishi</t>
  </si>
  <si>
    <t>Nissan</t>
  </si>
  <si>
    <t>Porsche</t>
  </si>
  <si>
    <t>Ram</t>
  </si>
  <si>
    <t>Subaru</t>
  </si>
  <si>
    <t>Tesla</t>
  </si>
  <si>
    <t>Toyota</t>
  </si>
  <si>
    <t>Volkswagen</t>
  </si>
  <si>
    <t>Volvo</t>
  </si>
  <si>
    <t>Land Rover</t>
  </si>
  <si>
    <t>Mercedes-Benz</t>
  </si>
  <si>
    <t>Giulia</t>
  </si>
  <si>
    <t>Stelvio</t>
  </si>
  <si>
    <t>A3</t>
  </si>
  <si>
    <t>A4</t>
  </si>
  <si>
    <t>A5</t>
  </si>
  <si>
    <t>A6</t>
  </si>
  <si>
    <t>A7</t>
  </si>
  <si>
    <t>A8</t>
  </si>
  <si>
    <t>eTron</t>
  </si>
  <si>
    <t>Q3</t>
  </si>
  <si>
    <t>Q5</t>
  </si>
  <si>
    <t>Q7</t>
  </si>
  <si>
    <t>Q8</t>
  </si>
  <si>
    <t>R8</t>
  </si>
  <si>
    <t>TT</t>
  </si>
  <si>
    <t>2 Series</t>
  </si>
  <si>
    <t>3 Series</t>
  </si>
  <si>
    <t>4 Series</t>
  </si>
  <si>
    <t>5 Series</t>
  </si>
  <si>
    <t>6 Series</t>
  </si>
  <si>
    <t>7 Series</t>
  </si>
  <si>
    <t>8 Series</t>
  </si>
  <si>
    <t>i3</t>
  </si>
  <si>
    <t>i8</t>
  </si>
  <si>
    <t>X1</t>
  </si>
  <si>
    <t>X2</t>
  </si>
  <si>
    <t>X3</t>
  </si>
  <si>
    <t>X4</t>
  </si>
  <si>
    <t>X5</t>
  </si>
  <si>
    <t>X6</t>
  </si>
  <si>
    <t>X7</t>
  </si>
  <si>
    <t>Z4</t>
  </si>
  <si>
    <t>Cascada</t>
  </si>
  <si>
    <t>Enclave</t>
  </si>
  <si>
    <t>Encore</t>
  </si>
  <si>
    <t>Encore GX</t>
  </si>
  <si>
    <t>Envision</t>
  </si>
  <si>
    <t>LaCrosse</t>
  </si>
  <si>
    <t>Regal</t>
  </si>
  <si>
    <t>ATS</t>
  </si>
  <si>
    <t>CT4</t>
  </si>
  <si>
    <t>CT5</t>
  </si>
  <si>
    <t>CT6</t>
  </si>
  <si>
    <t>CTS</t>
  </si>
  <si>
    <t>Escalade</t>
  </si>
  <si>
    <t>XT4</t>
  </si>
  <si>
    <t>XT5</t>
  </si>
  <si>
    <t>XT6</t>
  </si>
  <si>
    <t>XTS</t>
  </si>
  <si>
    <t>Blazer</t>
  </si>
  <si>
    <t>Bolt</t>
  </si>
  <si>
    <t>Camaro</t>
  </si>
  <si>
    <t>Colorado</t>
  </si>
  <si>
    <t>Corvette</t>
  </si>
  <si>
    <t>Cruze</t>
  </si>
  <si>
    <t>Equinox</t>
  </si>
  <si>
    <t>Express</t>
  </si>
  <si>
    <t>Impala</t>
  </si>
  <si>
    <t>Malibu</t>
  </si>
  <si>
    <t>Silverado</t>
  </si>
  <si>
    <t>Sonic</t>
  </si>
  <si>
    <t>Spark</t>
  </si>
  <si>
    <t>Suburban</t>
  </si>
  <si>
    <t>Tahoe</t>
  </si>
  <si>
    <t>TrailBlazer</t>
  </si>
  <si>
    <t>Traverse</t>
  </si>
  <si>
    <t>Trax</t>
  </si>
  <si>
    <t>Volt</t>
  </si>
  <si>
    <t>Pacifica</t>
  </si>
  <si>
    <t>Town &amp; Country</t>
  </si>
  <si>
    <t>Challenger</t>
  </si>
  <si>
    <t>Charger</t>
  </si>
  <si>
    <t>Dart</t>
  </si>
  <si>
    <t>Durango</t>
  </si>
  <si>
    <t>Grand Caravan</t>
  </si>
  <si>
    <t>Journey</t>
  </si>
  <si>
    <t>Viper</t>
  </si>
  <si>
    <t>124 Spider</t>
  </si>
  <si>
    <t>500L</t>
  </si>
  <si>
    <t>500X</t>
  </si>
  <si>
    <t>Bronco Sport</t>
  </si>
  <si>
    <t>E-Series</t>
  </si>
  <si>
    <t>EcoSport</t>
  </si>
  <si>
    <t>Edge</t>
  </si>
  <si>
    <t>Escape</t>
  </si>
  <si>
    <t>Expedition</t>
  </si>
  <si>
    <t>Explorer</t>
  </si>
  <si>
    <t>F-Series</t>
  </si>
  <si>
    <t>Fiesta</t>
  </si>
  <si>
    <t>Flex</t>
  </si>
  <si>
    <t>Fusion</t>
  </si>
  <si>
    <t>GT</t>
  </si>
  <si>
    <t>Mustang</t>
  </si>
  <si>
    <t>Mustang Mach-E</t>
  </si>
  <si>
    <t>Ranger</t>
  </si>
  <si>
    <t>Transit</t>
  </si>
  <si>
    <t>Transit Connect</t>
  </si>
  <si>
    <t>G70</t>
  </si>
  <si>
    <t>G80</t>
  </si>
  <si>
    <t>G90</t>
  </si>
  <si>
    <t>GV80</t>
  </si>
  <si>
    <t>Acadia</t>
  </si>
  <si>
    <t>Canyon</t>
  </si>
  <si>
    <t>Savana</t>
  </si>
  <si>
    <t>Sierra</t>
  </si>
  <si>
    <t>Terrain</t>
  </si>
  <si>
    <t>Yukon</t>
  </si>
  <si>
    <t>Accord</t>
  </si>
  <si>
    <t>Civic</t>
  </si>
  <si>
    <t>CR-V</t>
  </si>
  <si>
    <t>CR-Z</t>
  </si>
  <si>
    <t>Fit</t>
  </si>
  <si>
    <t>HR-V</t>
  </si>
  <si>
    <t>Insight</t>
  </si>
  <si>
    <t>Odyssey</t>
  </si>
  <si>
    <t>Passport</t>
  </si>
  <si>
    <t>Pilot</t>
  </si>
  <si>
    <t>Ridgeline</t>
  </si>
  <si>
    <t>Clarity</t>
  </si>
  <si>
    <t>Accent</t>
  </si>
  <si>
    <t>Elantra</t>
  </si>
  <si>
    <t>Ioniq</t>
  </si>
  <si>
    <t>Kona</t>
  </si>
  <si>
    <t>Nexo</t>
  </si>
  <si>
    <t>Palisade</t>
  </si>
  <si>
    <t>Santa Fe</t>
  </si>
  <si>
    <t>Sonata</t>
  </si>
  <si>
    <t>Tuscon</t>
  </si>
  <si>
    <t>Veloster</t>
  </si>
  <si>
    <t>Venue</t>
  </si>
  <si>
    <t>Q50</t>
  </si>
  <si>
    <t>Q60</t>
  </si>
  <si>
    <t>Q70</t>
  </si>
  <si>
    <t>QX30</t>
  </si>
  <si>
    <t>QX50</t>
  </si>
  <si>
    <t>QX60</t>
  </si>
  <si>
    <t>QX80</t>
  </si>
  <si>
    <t>E-Pace</t>
  </si>
  <si>
    <t>F-Pace</t>
  </si>
  <si>
    <t>F-Type</t>
  </si>
  <si>
    <t>I-Pace</t>
  </si>
  <si>
    <t>XE</t>
  </si>
  <si>
    <t>XF</t>
  </si>
  <si>
    <t>XJ</t>
  </si>
  <si>
    <t>Cherokee</t>
  </si>
  <si>
    <t>Compass</t>
  </si>
  <si>
    <t>Gladiator</t>
  </si>
  <si>
    <t>Grand Cherokee</t>
  </si>
  <si>
    <t>Renegade</t>
  </si>
  <si>
    <t>Wrangler</t>
  </si>
  <si>
    <t>Cadenza</t>
  </si>
  <si>
    <t>Forte</t>
  </si>
  <si>
    <t>K5</t>
  </si>
  <si>
    <t>K900</t>
  </si>
  <si>
    <t>Niro</t>
  </si>
  <si>
    <t>Optima</t>
  </si>
  <si>
    <t>Rio</t>
  </si>
  <si>
    <t>Sedona</t>
  </si>
  <si>
    <t>Seltos</t>
  </si>
  <si>
    <t>Sorento</t>
  </si>
  <si>
    <t>Soul</t>
  </si>
  <si>
    <t>Sportage</t>
  </si>
  <si>
    <t>Stinger</t>
  </si>
  <si>
    <t>Telluride</t>
  </si>
  <si>
    <t>Defender</t>
  </si>
  <si>
    <t>Discovery/LR4</t>
  </si>
  <si>
    <t>Discovery Sport</t>
  </si>
  <si>
    <t>Range Rover</t>
  </si>
  <si>
    <t>Range Rover Evoque</t>
  </si>
  <si>
    <t>Range Rover Sport</t>
  </si>
  <si>
    <t>Range Rover Velar</t>
  </si>
  <si>
    <t>ES</t>
  </si>
  <si>
    <t>GS</t>
  </si>
  <si>
    <t>GX</t>
  </si>
  <si>
    <t>IS</t>
  </si>
  <si>
    <t>LC</t>
  </si>
  <si>
    <t>LFA</t>
  </si>
  <si>
    <t>LS</t>
  </si>
  <si>
    <t>LX</t>
  </si>
  <si>
    <t>NX</t>
  </si>
  <si>
    <t>RC</t>
  </si>
  <si>
    <t>RX</t>
  </si>
  <si>
    <t>UX</t>
  </si>
  <si>
    <t>Aviator</t>
  </si>
  <si>
    <t>Continental</t>
  </si>
  <si>
    <t>MKC</t>
  </si>
  <si>
    <t>MKT</t>
  </si>
  <si>
    <t>MKX/Nautilus</t>
  </si>
  <si>
    <t>MKZ</t>
  </si>
  <si>
    <t>Navigator</t>
  </si>
  <si>
    <t>CX-3</t>
  </si>
  <si>
    <t>CX-30</t>
  </si>
  <si>
    <t>CX-5</t>
  </si>
  <si>
    <t>CX-9</t>
  </si>
  <si>
    <t>MX-5 Miata</t>
  </si>
  <si>
    <t>A-Class</t>
  </si>
  <si>
    <t>AMG GT</t>
  </si>
  <si>
    <t>C-Class</t>
  </si>
  <si>
    <t>CLA-Class</t>
  </si>
  <si>
    <t>G-Class</t>
  </si>
  <si>
    <t>GLB</t>
  </si>
  <si>
    <t>Metris</t>
  </si>
  <si>
    <t>S-Class</t>
  </si>
  <si>
    <t>SL-Class</t>
  </si>
  <si>
    <t>SLC-Class</t>
  </si>
  <si>
    <t>Sprinter</t>
  </si>
  <si>
    <t>E-Class/CLS-Class</t>
  </si>
  <si>
    <t>GLS</t>
  </si>
  <si>
    <t>GLA</t>
  </si>
  <si>
    <t>GLC</t>
  </si>
  <si>
    <t>GLE</t>
  </si>
  <si>
    <t>Cooper</t>
  </si>
  <si>
    <t>Countryman</t>
  </si>
  <si>
    <t>Eclipse Cross</t>
  </si>
  <si>
    <t>Mirage</t>
  </si>
  <si>
    <t>Outlander</t>
  </si>
  <si>
    <t>Outlander PHEV</t>
  </si>
  <si>
    <t>Outlander Sport</t>
  </si>
  <si>
    <t>370Z</t>
  </si>
  <si>
    <t>Altima</t>
  </si>
  <si>
    <t>Armada</t>
  </si>
  <si>
    <t>Frontier</t>
  </si>
  <si>
    <t>GT-R</t>
  </si>
  <si>
    <t>Kicks</t>
  </si>
  <si>
    <t>Leaf</t>
  </si>
  <si>
    <t>Maxima</t>
  </si>
  <si>
    <t>Murano</t>
  </si>
  <si>
    <t>NV</t>
  </si>
  <si>
    <t>NV200</t>
  </si>
  <si>
    <t>Pathfinder</t>
  </si>
  <si>
    <t>Quest</t>
  </si>
  <si>
    <t>Rogue</t>
  </si>
  <si>
    <t>Sentra</t>
  </si>
  <si>
    <t>Titan</t>
  </si>
  <si>
    <t>Versa</t>
  </si>
  <si>
    <t>Cayenne</t>
  </si>
  <si>
    <t>Macan</t>
  </si>
  <si>
    <t>Panamera</t>
  </si>
  <si>
    <t>Taycan</t>
  </si>
  <si>
    <t>Pickup</t>
  </si>
  <si>
    <t>ProMaster</t>
  </si>
  <si>
    <t>ProMaster City</t>
  </si>
  <si>
    <t>Ascent</t>
  </si>
  <si>
    <t>BRZ</t>
  </si>
  <si>
    <t>CrossTrek</t>
  </si>
  <si>
    <t>Forester</t>
  </si>
  <si>
    <t>Impreza</t>
  </si>
  <si>
    <t>WRX</t>
  </si>
  <si>
    <t>Legacy</t>
  </si>
  <si>
    <t>Outback</t>
  </si>
  <si>
    <t>Model 3</t>
  </si>
  <si>
    <t>Model S</t>
  </si>
  <si>
    <t>Model X</t>
  </si>
  <si>
    <t>Model Y</t>
  </si>
  <si>
    <t>4Runner</t>
  </si>
  <si>
    <t>Avalon</t>
  </si>
  <si>
    <t>C-HR</t>
  </si>
  <si>
    <t>Camry</t>
  </si>
  <si>
    <t>Corolla</t>
  </si>
  <si>
    <t>Highlander</t>
  </si>
  <si>
    <t>Land Cruiser</t>
  </si>
  <si>
    <t>Mirai</t>
  </si>
  <si>
    <t>RAV4</t>
  </si>
  <si>
    <t>Sequoia</t>
  </si>
  <si>
    <t>Sienna</t>
  </si>
  <si>
    <t>Supra</t>
  </si>
  <si>
    <t>Tacoma</t>
  </si>
  <si>
    <t>Tundra</t>
  </si>
  <si>
    <t>Venza</t>
  </si>
  <si>
    <t>Yaris</t>
  </si>
  <si>
    <t>Prius</t>
  </si>
  <si>
    <t>Arteon</t>
  </si>
  <si>
    <t>Atlas</t>
  </si>
  <si>
    <t>Atlas Sport</t>
  </si>
  <si>
    <t>Beetle</t>
  </si>
  <si>
    <t>CC</t>
  </si>
  <si>
    <t>Golf</t>
  </si>
  <si>
    <t>Jetta</t>
  </si>
  <si>
    <t>Passat</t>
  </si>
  <si>
    <t>Tiguan</t>
  </si>
  <si>
    <t>Touareg</t>
  </si>
  <si>
    <t>S60/V60</t>
  </si>
  <si>
    <t>S90/V90</t>
  </si>
  <si>
    <t>XC40</t>
  </si>
  <si>
    <t>XC60</t>
  </si>
  <si>
    <t>XC90</t>
  </si>
  <si>
    <t>Sales</t>
  </si>
  <si>
    <t>CAR SEARCH</t>
  </si>
  <si>
    <t>Row Labels</t>
  </si>
  <si>
    <t>Grand Total</t>
  </si>
  <si>
    <t>Sum of Total</t>
  </si>
  <si>
    <t>Type</t>
  </si>
  <si>
    <t>SUV</t>
  </si>
  <si>
    <t>Truck</t>
  </si>
  <si>
    <t>Motors</t>
  </si>
  <si>
    <t>Grades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</si>
</sst>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Google Sans"/>
      <family val="2"/>
    </font>
    <font>
      <sz val="10"/>
      <color theme="1"/>
      <name val="Google Sans"/>
      <family val="2"/>
    </font>
    <font>
      <b/>
      <sz val="10"/>
      <color theme="1"/>
      <name val="Google San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3" fillId="0" borderId="0" xfId="0" applyNumberFormat="1" applyFont="1" applyFill="1" applyBorder="1"/>
    <xf numFmtId="0" fontId="4" fillId="0" borderId="0" xfId="0" applyNumberFormat="1" applyFont="1" applyFill="1" applyBorder="1"/>
    <xf numFmtId="164" fontId="2" fillId="0" borderId="0" xfId="1" applyNumberFormat="1" applyFont="1" applyFill="1" applyBorder="1" applyAlignment="1">
      <alignment horizontal="right" vertical="center"/>
    </xf>
    <xf numFmtId="164" fontId="4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2" fillId="0" borderId="0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/>
    </xf>
    <xf numFmtId="0" fontId="4" fillId="0" borderId="1" xfId="0" applyNumberFormat="1" applyFont="1" applyFill="1" applyBorder="1"/>
    <xf numFmtId="3" fontId="3" fillId="0" borderId="1" xfId="0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[autosale.xlsm]Sheet4!PivotTable1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Sheet4!$A$4:$A$22</c:f>
              <c:strCache>
                <c:ptCount val="18"/>
                <c:pt idx="0">
                  <c:v>86</c:v>
                </c:pt>
                <c:pt idx="1">
                  <c:v>4Runner</c:v>
                </c:pt>
                <c:pt idx="2">
                  <c:v>Avalon</c:v>
                </c:pt>
                <c:pt idx="3">
                  <c:v>Camry</c:v>
                </c:pt>
                <c:pt idx="4">
                  <c:v>C-HR</c:v>
                </c:pt>
                <c:pt idx="5">
                  <c:v>Corolla</c:v>
                </c:pt>
                <c:pt idx="6">
                  <c:v>Highlander</c:v>
                </c:pt>
                <c:pt idx="7">
                  <c:v>Land Cruiser</c:v>
                </c:pt>
                <c:pt idx="8">
                  <c:v>Mirai</c:v>
                </c:pt>
                <c:pt idx="9">
                  <c:v>Prius</c:v>
                </c:pt>
                <c:pt idx="10">
                  <c:v>RAV4</c:v>
                </c:pt>
                <c:pt idx="11">
                  <c:v>Sequoia</c:v>
                </c:pt>
                <c:pt idx="12">
                  <c:v>Sienna</c:v>
                </c:pt>
                <c:pt idx="13">
                  <c:v>Supra</c:v>
                </c:pt>
                <c:pt idx="14">
                  <c:v>Tacoma</c:v>
                </c:pt>
                <c:pt idx="15">
                  <c:v>Tundra</c:v>
                </c:pt>
                <c:pt idx="16">
                  <c:v>Venza</c:v>
                </c:pt>
                <c:pt idx="17">
                  <c:v>Yaris</c:v>
                </c:pt>
              </c:strCache>
            </c:strRef>
          </c:cat>
          <c:val>
            <c:numRef>
              <c:f>Sheet4!$B$4:$B$22</c:f>
              <c:numCache>
                <c:formatCode>General</c:formatCode>
                <c:ptCount val="18"/>
                <c:pt idx="0">
                  <c:v>2476</c:v>
                </c:pt>
                <c:pt idx="1">
                  <c:v>129052</c:v>
                </c:pt>
                <c:pt idx="2">
                  <c:v>18421</c:v>
                </c:pt>
                <c:pt idx="3">
                  <c:v>294348</c:v>
                </c:pt>
                <c:pt idx="4">
                  <c:v>42936</c:v>
                </c:pt>
                <c:pt idx="5">
                  <c:v>237179</c:v>
                </c:pt>
                <c:pt idx="6">
                  <c:v>212276</c:v>
                </c:pt>
                <c:pt idx="7">
                  <c:v>3146</c:v>
                </c:pt>
                <c:pt idx="8">
                  <c:v>499</c:v>
                </c:pt>
                <c:pt idx="9">
                  <c:v>43525</c:v>
                </c:pt>
                <c:pt idx="10">
                  <c:v>430387</c:v>
                </c:pt>
                <c:pt idx="11">
                  <c:v>7364</c:v>
                </c:pt>
                <c:pt idx="12">
                  <c:v>42885</c:v>
                </c:pt>
                <c:pt idx="13">
                  <c:v>5887</c:v>
                </c:pt>
                <c:pt idx="14">
                  <c:v>238805</c:v>
                </c:pt>
                <c:pt idx="15">
                  <c:v>109203</c:v>
                </c:pt>
                <c:pt idx="16">
                  <c:v>13073</c:v>
                </c:pt>
                <c:pt idx="17">
                  <c:v>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069-41F9-BF12-D649745BB9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47181008"/>
        <c:axId val="647178056"/>
      </c:barChart>
      <c:catAx>
        <c:axId val="64718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178056"/>
        <c:crosses val="autoZero"/>
        <c:auto val="1"/>
        <c:lblAlgn val="ctr"/>
        <c:lblOffset val="100"/>
        <c:noMultiLvlLbl val="0"/>
      </c:catAx>
      <c:valAx>
        <c:axId val="647178056"/>
        <c:scaling>
          <c:orientation val="minMax"/>
        </c:scaling>
        <c:delete val="1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64718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[autosale.xlsm]Sheet5!PivotTable2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Sheet5!$L$28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Sheet5!$K$29:$K$31</c:f>
              <c:strCache>
                <c:ptCount val="2"/>
                <c:pt idx="0">
                  <c:v>Tacoma</c:v>
                </c:pt>
                <c:pt idx="1">
                  <c:v>Tundra</c:v>
                </c:pt>
              </c:strCache>
            </c:strRef>
          </c:cat>
          <c:val>
            <c:numRef>
              <c:f>Sheet5!$L$29:$L$31</c:f>
              <c:numCache>
                <c:formatCode>General</c:formatCode>
                <c:ptCount val="2"/>
                <c:pt idx="0">
                  <c:v>238805</c:v>
                </c:pt>
                <c:pt idx="1">
                  <c:v>109203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FC-45EF-A00C-B491A7F9E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423088"/>
        <c:axId val="640008648"/>
      </c:barChart>
      <c:catAx>
        <c:axId val="3864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008648"/>
        <c:crosses val="autoZero"/>
        <c:auto val="1"/>
        <c:lblAlgn val="ctr"/>
        <c:lblOffset val="100"/>
        <c:noMultiLvlLbl val="0"/>
      </c:catAx>
      <c:valAx>
        <c:axId val="64000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2</xdr:row>
      <xdr:rowOff>9524</xdr:rowOff>
    </xdr:from>
    <xdr:to>
      <xdr:col>15</xdr:col>
      <xdr:colOff>266700</xdr:colOff>
      <xdr:row>26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4FB836-3CD3-4188-8E0D-7D16CDB114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24</xdr:row>
      <xdr:rowOff>176212</xdr:rowOff>
    </xdr:from>
    <xdr:to>
      <xdr:col>20</xdr:col>
      <xdr:colOff>0</xdr:colOff>
      <xdr:row>41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5179BB-6EBA-4244-9B13-68035CEA2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Nguyen" refreshedDate="44330.504314814818" createdVersion="7" refreshedVersion="7" minRefreshableVersion="3" recordCount="301" xr:uid="{8B1098BB-894A-4327-97C4-FDF4C07F6C6B}">
  <cacheSource type="worksheet">
    <worksheetSource ref="A10:P311" sheet="Sheet2"/>
  </cacheSource>
  <cacheFields count="16">
    <cacheField name="Car" numFmtId="0">
      <sharedItems count="301">
        <s v="Ford F-Series"/>
        <s v="Chevrolet Silverado"/>
        <s v="Ram Pickup"/>
        <s v="Toyota RAV4"/>
        <s v="Honda CR-V"/>
        <s v="Toyota Camry"/>
        <s v="Chevrolet Equinox"/>
        <s v="Toyota Corolla"/>
        <s v="Honda Civic"/>
        <s v="Nissan Rogue"/>
        <s v="Tesla Model 3"/>
        <s v="Ford Explorer"/>
        <s v="GMC Sierra"/>
        <s v="Toyota Tacoma"/>
        <s v="Toyota Highlander"/>
        <s v="Jeep Grand Cherokee"/>
        <s v="Ford Escape"/>
        <s v="Nissan Altima"/>
        <s v="Honda Accord"/>
        <s v="Subaru Forester"/>
        <s v="Mazda CX-5"/>
        <s v="Jeep Wrangler"/>
        <s v="Ford Fusion"/>
        <s v="Ford Transit"/>
        <s v="Chevrolet Malibu"/>
        <s v="Subaru Outback"/>
        <s v="Jeep Cherokee"/>
        <s v="Chevrolet Traverse"/>
        <s v="Jeep Compass"/>
        <s v="Ford Edge"/>
        <s v="Toyota 4Runner"/>
        <s v="Chevrolet Trax"/>
        <s v="GMC Terrain"/>
        <s v="Subaru CrossTrek"/>
        <s v="Dodge Grand Caravan"/>
        <s v="Hyundai Tuscon"/>
        <s v="Chrysler Pacifica"/>
        <s v="Hyundai Elantra"/>
        <s v="Honda Pilot"/>
        <s v="Nissan Sentra"/>
        <s v="Honda HR-V"/>
        <s v="Lexus RX"/>
        <s v="Volkswagen Tiguan"/>
        <s v="Chevrolet Blazer"/>
        <s v="Hyundai Santa Fe"/>
        <s v="Chevrolet Colorado"/>
        <s v="Volkswagen Jetta"/>
        <s v="Ford Ranger"/>
        <s v="Kia Sportage"/>
        <s v="Toyota Tundra"/>
        <s v="Chevrolet Tahoe"/>
        <s v="Ford Expedition"/>
        <s v="Kia Forte"/>
        <s v="Kia Optima"/>
        <s v="Dodge Charger"/>
        <s v="Nissan Pathfinder"/>
        <s v="Ford Mustang"/>
        <s v="Dodge Durango"/>
        <s v="GMC Acadia"/>
        <s v="Honda Odyssey"/>
        <s v="Subaru Ascent"/>
        <s v="Kia Soul"/>
        <s v="Hyundai Sonata"/>
        <s v="Kia Sorento"/>
        <s v="Buick Encore"/>
        <s v="Hyundai Palisade"/>
        <s v="Nissan Murano"/>
        <s v="Volkswagen Atlas"/>
        <s v="Jeep Gladiator"/>
        <s v="Dodge Journey"/>
        <s v="Kia Telluride"/>
        <s v="Jeep Renegade"/>
        <s v="GMC Yukon"/>
        <s v="Nissan Kicks"/>
        <s v="Chevrolet Express"/>
        <s v="Mercedes-Benz GLC"/>
        <s v="Hyundai Kona"/>
        <s v="Ford EcoSport"/>
        <s v="BMW X7"/>
        <s v="Toyota Prius"/>
        <s v="Subaru Impreza"/>
        <s v="Nissan Versa"/>
        <s v="Dodge Challenger"/>
        <s v="Toyota Sienna"/>
        <s v="Mitsubishi Outlander"/>
        <s v="Mercedes-Benz GLE"/>
        <s v="Lexus NX"/>
        <s v="Acura RDX"/>
        <s v="BMW X5"/>
        <s v="BMW X3"/>
        <s v="BMW 3 Series"/>
        <s v="Nissan Frontier"/>
        <s v="Ford E-Series"/>
        <s v="Audi Q5"/>
        <s v="Ram ProMaster"/>
        <s v="Chevrolet Suburban"/>
        <s v="Honda Ridgeline"/>
        <s v="Chevrolet Spark"/>
        <s v="Lexus ES"/>
        <s v="Mitsubishi Outlander Sport"/>
        <s v="Toyota C-HR"/>
        <s v="Acura MDX"/>
        <s v="Infiniti QX60"/>
        <s v="Cadillac XT5"/>
        <s v="Honda Passport"/>
        <s v="Buick Enclave"/>
        <s v="Nissan Armada"/>
        <s v="Mazda CX-9"/>
        <s v="Honda Fit"/>
        <s v="Volkswagen Golf"/>
        <s v="Mazda 3"/>
        <s v="Subaru Legacy"/>
        <s v="Ford Transit Connect"/>
        <s v="Mazda CX-30"/>
        <s v="Chevrolet Camaro"/>
        <s v="Mercedes-Benz E-Class/CLS-Class"/>
        <s v="Buick Envision"/>
        <s v="Mercedes-Benz C-Class"/>
        <s v="Mitsubishi Eclipse Cross"/>
        <s v="Mercedes-Benz GLS"/>
        <s v="Audi Q7"/>
        <s v="Volvo XC90"/>
        <s v="Nissan Maxima"/>
        <s v="Volkswagen Passat"/>
        <s v="Land Rover Range Rover Sport"/>
        <s v="Chevrolet Bolt"/>
        <s v="Tesla Model S"/>
        <s v="Nissan Titan"/>
        <s v="Lincoln MKC"/>
        <s v="Lincoln Aviator"/>
        <s v="Cadillac Escalade"/>
        <s v="Infiniti QX80"/>
        <s v="Chrysler 300"/>
        <s v="Infiniti Q50"/>
        <s v="Audi Q3"/>
        <s v="Lexus GX"/>
        <s v="Acura TLX"/>
        <s v="Mazda 6"/>
        <s v="BMW 5 Series"/>
        <s v="Volvo XC60"/>
        <s v="Audi A5"/>
        <s v="Mercedes-Benz Sprinter"/>
        <s v="Lincoln MKX/Nautilus"/>
        <s v="Cadillac XT4"/>
        <s v="Cadillac XT6"/>
        <s v="Kia Rio"/>
        <s v="Mercedes-Benz GLA"/>
        <s v="Chevrolet Impala"/>
        <s v="Kia Niro"/>
        <s v="Mercedes-Benz GLB"/>
        <s v="Hyundai Accent"/>
        <s v="Nissan NV200"/>
        <s v="Mitsubishi Mirage"/>
        <s v="Toyota Avalon"/>
        <s v="Lexus UX"/>
        <s v="Land Rover Range Rover"/>
        <s v="GMC Canyon"/>
        <s v="Tesla Model X"/>
        <s v="Honda Insight"/>
        <s v="Jaguar F-Pace"/>
        <s v="Chevrolet Sonic"/>
        <s v="Subaru WRX"/>
        <s v="Land Rover Range Rover Evoque"/>
        <s v="GMC Savana"/>
        <s v="Infiniti QX50"/>
        <s v="BMW X1"/>
        <s v="Volvo XC40"/>
        <s v="Land Rover Range Rover Velar"/>
        <s v="Audi A4"/>
        <s v="Hyundai Ioniq"/>
        <s v="Lincoln Navigator"/>
        <s v="Porsche Cayenne"/>
        <s v="Chevrolet Corvette"/>
        <s v="Porsche Macan"/>
        <s v="Nissan NV"/>
        <s v="Mercedes-Benz A-Class"/>
        <s v="Mini Cooper"/>
        <s v="Mazda CX-3"/>
        <s v="Lincoln MKZ"/>
        <s v="Mercedes-Benz CLA-Class"/>
        <s v="Volvo S60/V60"/>
        <s v="Kia Sedona"/>
        <s v="Hyundai Venue"/>
        <s v="Cadillac CT5"/>
        <s v="Acura ILX"/>
        <s v="Ford Fiesta"/>
        <s v="Land Rover Discovery Sport"/>
        <s v="Toyota Yaris"/>
        <s v="Porsche 911"/>
        <s v="Land Rover Discovery/LR4"/>
        <s v="Audi A6"/>
        <s v="Ford Flex"/>
        <s v="Audi Q8"/>
        <s v="Mercedes-Benz S-Class"/>
        <s v="Kia Stinger"/>
        <s v="BMW X2"/>
        <s v="Lexus IS"/>
        <s v="Mercedes-Benz Metris"/>
        <s v="Audi A3"/>
        <s v="Genesis G70"/>
        <s v="BMW 4 Series"/>
        <s v="Ram ProMaster City"/>
        <s v="Hyundai Veloster"/>
        <s v="Nissan Leaf"/>
        <s v="Alfa Romeo Stelvio"/>
        <s v="BMW X4"/>
        <s v="BMW 2 Series"/>
        <s v="Alfa Romeo Giulia"/>
        <s v="Cadillac CT6"/>
        <s v="Audi eTron"/>
        <s v="BMW 8 Series"/>
        <s v="BMW 7 Series"/>
        <s v="Mini Countryman"/>
        <s v="Mercedes-Benz G-Class"/>
        <s v="Volkswagen Beetle"/>
        <s v="Lincoln Continental"/>
        <s v="Toyota Sequoia"/>
        <s v="Honda Clarity"/>
        <s v="Genesis G80"/>
        <s v="Jaguar E-Pace"/>
        <s v="BMW X6"/>
        <s v="Mazda MX-5 Miata"/>
        <s v="Buick Regal"/>
        <s v="Porsche Panamera"/>
        <s v="Lexus LS"/>
        <s v="Toyota Supra"/>
        <s v="Lexus LX"/>
        <s v="Mercedes-Benz AMG GT"/>
        <s v="Infiniti Q60"/>
        <s v="Lexus RC"/>
        <s v="Volkswagen Arteon"/>
        <s v="Lexus GS"/>
        <s v="Genesis G90"/>
        <s v="Toyota 86"/>
        <s v="Toyota Land Cruiser"/>
        <s v="Audi A7"/>
        <s v="BMW Z4"/>
        <s v="Kia Cadenza"/>
        <s v="Jaguar XE"/>
        <s v="Nissan 370Z"/>
        <s v="Jaguar F-Type"/>
        <s v="Audi A8"/>
        <s v="Jaguar I-Pace"/>
        <s v="Cadillac XTS"/>
        <s v="Mercedes-Benz SLC-Class"/>
        <s v="Chevrolet Cruze"/>
        <s v="Porsche 718"/>
        <s v="Mercedes-Benz SL-Class"/>
        <s v="Jaguar XJ"/>
        <s v="Fiat 124 Spider"/>
        <s v="Subaru BRZ"/>
        <s v="Fiat 500"/>
        <s v="Volvo S90/V90"/>
        <s v="Lexus LC"/>
        <s v="Mitsubishi Outlander PHEV"/>
        <s v="Kia Seltos"/>
        <s v="Fiat 500X"/>
        <s v="Porsche Taycan"/>
        <s v="Jaguar XF"/>
        <s v="Acura RLX"/>
        <s v="Audi TT"/>
        <s v="Toyota Mirai"/>
        <s v="Cadillac CTS"/>
        <s v="Buick LaCrosse"/>
        <s v="Fiat 500L"/>
        <s v="Infiniti Q70"/>
        <s v="Infiniti QX30"/>
        <s v="Lincoln MKT"/>
        <s v="Audi R8"/>
        <s v="Kia K900"/>
        <s v="Ford GT"/>
        <s v="BMW i3"/>
        <s v="BMW i8"/>
        <s v="Nissan GT-R"/>
        <s v="BMW 6 Series"/>
        <s v="Hyundai Nexo"/>
        <s v="Cadillac ATS"/>
        <s v="Cadillac CT4"/>
        <s v="Alfa Romeo 4C"/>
        <s v="Acura NSX"/>
        <s v="Chevrolet Volt"/>
        <s v="Volkswagen CC"/>
        <s v="Buick Cascada"/>
        <s v="Chevrolet TrailBlazer"/>
        <s v="Dodge Dart"/>
        <s v="Chrysler 200"/>
        <s v="Volkswagen Touareg"/>
        <s v="Buick Encore GX"/>
        <s v="Land Rover Defender"/>
        <s v="Volkswagen Atlas Sport"/>
        <s v="Lexus LFA"/>
        <s v="Honda CR-Z"/>
        <s v="Chrysler Town &amp; Country"/>
        <s v="Dodge Viper"/>
        <s v="Ford Bronco Sport"/>
        <s v="Ford Mustang Mach-E"/>
        <s v="Genesis GV80"/>
        <s v="Kia K5"/>
        <s v="Nissan Quest"/>
        <s v="Tesla Model Y"/>
        <s v="Toyota Venza"/>
      </sharedItems>
    </cacheField>
    <cacheField name="Make" numFmtId="0">
      <sharedItems count="34">
        <s v="Ford"/>
        <s v="Chevrolet"/>
        <s v="Ram"/>
        <s v="Toyota"/>
        <s v="Honda"/>
        <s v="Nissan"/>
        <s v="Tesla"/>
        <s v="GMC"/>
        <s v="Jeep"/>
        <s v="Subaru"/>
        <s v="Mazda"/>
        <s v="Dodge"/>
        <s v="Hyundai"/>
        <s v="Chrysler"/>
        <s v="Lexus"/>
        <s v="Volkswagen"/>
        <s v="Kia"/>
        <s v="Buick"/>
        <s v="Mercedes-Benz"/>
        <s v="BMW"/>
        <s v="Mitsubishi"/>
        <s v="Acura"/>
        <s v="Audi"/>
        <s v="Infiniti"/>
        <s v="Cadillac"/>
        <s v="Volvo"/>
        <s v="Land Rover"/>
        <s v="Lincoln"/>
        <s v="Jaguar"/>
        <s v="Porsche"/>
        <s v="Mini"/>
        <s v="Genesis"/>
        <s v="Alfa Romeo"/>
        <s v="Fiat"/>
      </sharedItems>
    </cacheField>
    <cacheField name="Model" numFmtId="49">
      <sharedItems containsMixedTypes="1" containsNumber="1" containsInteger="1" minValue="3" maxValue="911" count="301">
        <s v="F-Series"/>
        <s v="Silverado"/>
        <s v="Pickup"/>
        <s v="RAV4"/>
        <s v="CR-V"/>
        <s v="Camry"/>
        <s v="Equinox"/>
        <s v="Corolla"/>
        <s v="Civic"/>
        <s v="Rogue"/>
        <s v="Model 3"/>
        <s v="Explorer"/>
        <s v="Sierra"/>
        <s v="Tacoma"/>
        <s v="Highlander"/>
        <s v="Grand Cherokee"/>
        <s v="Escape"/>
        <s v="Altima"/>
        <s v="Accord"/>
        <s v="Forester"/>
        <s v="CX-5"/>
        <s v="Wrangler"/>
        <s v="Fusion"/>
        <s v="Transit"/>
        <s v="Malibu"/>
        <s v="Outback"/>
        <s v="Cherokee"/>
        <s v="Traverse"/>
        <s v="Compass"/>
        <s v="Edge"/>
        <s v="4Runner"/>
        <s v="Trax"/>
        <s v="Terrain"/>
        <s v="CrossTrek"/>
        <s v="Grand Caravan"/>
        <s v="Tuscon"/>
        <s v="Pacifica"/>
        <s v="Elantra"/>
        <s v="Pilot"/>
        <s v="Sentra"/>
        <s v="HR-V"/>
        <s v="RX"/>
        <s v="Tiguan"/>
        <s v="Blazer"/>
        <s v="Santa Fe"/>
        <s v="Colorado"/>
        <s v="Jetta"/>
        <s v="Ranger"/>
        <s v="Sportage"/>
        <s v="Tundra"/>
        <s v="Tahoe"/>
        <s v="Expedition"/>
        <s v="Forte"/>
        <s v="Optima"/>
        <s v="Charger"/>
        <s v="Pathfinder"/>
        <s v="Mustang"/>
        <s v="Durango"/>
        <s v="Acadia"/>
        <s v="Odyssey"/>
        <s v="Ascent"/>
        <s v="Soul"/>
        <s v="Sonata"/>
        <s v="Sorento"/>
        <s v="Encore"/>
        <s v="Palisade"/>
        <s v="Murano"/>
        <s v="Atlas"/>
        <s v="Gladiator"/>
        <s v="Journey"/>
        <s v="Telluride"/>
        <s v="Renegade"/>
        <s v="Yukon"/>
        <s v="Kicks"/>
        <s v="Express"/>
        <s v="GLC"/>
        <s v="Kona"/>
        <s v="EcoSport"/>
        <s v="X7"/>
        <s v="Prius"/>
        <s v="Impreza"/>
        <s v="Versa"/>
        <s v="Challenger"/>
        <s v="Sienna"/>
        <s v="Outlander"/>
        <s v="GLE"/>
        <s v="NX"/>
        <s v="RDX"/>
        <s v="X5"/>
        <s v="X3"/>
        <s v="3 Series"/>
        <s v="Frontier"/>
        <s v="E-Series"/>
        <s v="Q5"/>
        <s v="ProMaster"/>
        <s v="Suburban"/>
        <s v="Ridgeline"/>
        <s v="Spark"/>
        <s v="ES"/>
        <s v="Outlander Sport"/>
        <s v="C-HR"/>
        <s v="MDX"/>
        <s v="QX60"/>
        <s v="XT5"/>
        <s v="Passport"/>
        <s v="Enclave"/>
        <s v="Armada"/>
        <s v="CX-9"/>
        <s v="Fit"/>
        <s v="Golf"/>
        <n v="3"/>
        <s v="Legacy"/>
        <s v="Transit Connect"/>
        <s v="CX-30"/>
        <s v="Camaro"/>
        <s v="E-Class/CLS-Class"/>
        <s v="Envision"/>
        <s v="C-Class"/>
        <s v="Eclipse Cross"/>
        <s v="GLS"/>
        <s v="Q7"/>
        <s v="XC90"/>
        <s v="Maxima"/>
        <s v="Passat"/>
        <s v="Range Rover Sport"/>
        <s v="Bolt"/>
        <s v="Model S"/>
        <s v="Titan"/>
        <s v="MKC"/>
        <s v="Aviator"/>
        <s v="Escalade"/>
        <s v="QX80"/>
        <n v="300"/>
        <s v="Q50"/>
        <s v="Q3"/>
        <s v="GX"/>
        <s v="TLX"/>
        <n v="6"/>
        <s v="5 Series"/>
        <s v="XC60"/>
        <s v="A5"/>
        <s v="Sprinter"/>
        <s v="MKX/Nautilus"/>
        <s v="XT4"/>
        <s v="XT6"/>
        <s v="Rio"/>
        <s v="GLA"/>
        <s v="Impala"/>
        <s v="Niro"/>
        <s v="GLB"/>
        <s v="Accent"/>
        <s v="NV200"/>
        <s v="Mirage"/>
        <s v="Avalon"/>
        <s v="UX"/>
        <s v="Range Rover"/>
        <s v="Canyon"/>
        <s v="Model X"/>
        <s v="Insight"/>
        <s v="F-Pace"/>
        <s v="Sonic"/>
        <s v="WRX"/>
        <s v="Range Rover Evoque"/>
        <s v="Savana"/>
        <s v="QX50"/>
        <s v="X1"/>
        <s v="XC40"/>
        <s v="Range Rover Velar"/>
        <s v="A4"/>
        <s v="Ioniq"/>
        <s v="Navigator"/>
        <s v="Cayenne"/>
        <s v="Corvette"/>
        <s v="Macan"/>
        <s v="NV"/>
        <s v="A-Class"/>
        <s v="Cooper"/>
        <s v="CX-3"/>
        <s v="MKZ"/>
        <s v="CLA-Class"/>
        <s v="S60/V60"/>
        <s v="Sedona"/>
        <s v="Venue"/>
        <s v="CT5"/>
        <s v="ILX"/>
        <s v="Fiesta"/>
        <s v="Discovery Sport"/>
        <s v="Yaris"/>
        <n v="911"/>
        <s v="Discovery/LR4"/>
        <s v="A6"/>
        <s v="Flex"/>
        <s v="Q8"/>
        <s v="S-Class"/>
        <s v="Stinger"/>
        <s v="X2"/>
        <s v="IS"/>
        <s v="Metris"/>
        <s v="A3"/>
        <s v="G70"/>
        <s v="4 Series"/>
        <s v="ProMaster City"/>
        <s v="Veloster"/>
        <s v="Leaf"/>
        <s v="Stelvio"/>
        <s v="X4"/>
        <s v="2 Series"/>
        <s v="Giulia"/>
        <s v="CT6"/>
        <s v="eTron"/>
        <s v="8 Series"/>
        <s v="7 Series"/>
        <s v="Countryman"/>
        <s v="G-Class"/>
        <s v="Beetle"/>
        <s v="Continental"/>
        <s v="Sequoia"/>
        <s v="Clarity"/>
        <s v="G80"/>
        <s v="E-Pace"/>
        <s v="X6"/>
        <s v="MX-5 Miata"/>
        <s v="Regal"/>
        <s v="Panamera"/>
        <s v="LS"/>
        <s v="Supra"/>
        <s v="LX"/>
        <s v="AMG GT"/>
        <s v="Q60"/>
        <s v="RC"/>
        <s v="Arteon"/>
        <s v="GS"/>
        <s v="G90"/>
        <n v="86"/>
        <s v="Land Cruiser"/>
        <s v="A7"/>
        <s v="Z4"/>
        <s v="Cadenza"/>
        <s v="XE"/>
        <s v="370Z"/>
        <s v="F-Type"/>
        <s v="A8"/>
        <s v="I-Pace"/>
        <s v="XTS"/>
        <s v="SLC-Class"/>
        <s v="Cruze"/>
        <n v="718"/>
        <s v="SL-Class"/>
        <s v="XJ"/>
        <s v="124 Spider"/>
        <s v="BRZ"/>
        <n v="500"/>
        <s v="S90/V90"/>
        <s v="LC"/>
        <s v="Outlander PHEV"/>
        <s v="Seltos"/>
        <s v="500X"/>
        <s v="Taycan"/>
        <s v="XF"/>
        <s v="RLX"/>
        <s v="TT"/>
        <s v="Mirai"/>
        <s v="CTS"/>
        <s v="LaCrosse"/>
        <s v="500L"/>
        <s v="Q70"/>
        <s v="QX30"/>
        <s v="MKT"/>
        <s v="R8"/>
        <s v="K900"/>
        <s v="GT"/>
        <s v="i3"/>
        <s v="i8"/>
        <s v="GT-R"/>
        <s v="6 Series"/>
        <s v="Nexo"/>
        <s v="ATS"/>
        <s v="CT4"/>
        <s v="4C"/>
        <s v="NSX"/>
        <s v="Volt"/>
        <s v="CC"/>
        <s v="Cascada"/>
        <s v="TrailBlazer"/>
        <s v="Dart"/>
        <n v="200"/>
        <s v="Touareg"/>
        <s v="Encore GX"/>
        <s v="Defender"/>
        <s v="Atlas Sport"/>
        <s v="LFA"/>
        <s v="CR-Z"/>
        <s v="Town &amp; Country"/>
        <s v="Viper"/>
        <s v="Bronco Sport"/>
        <s v="Mustang Mach-E"/>
        <s v="GV80"/>
        <s v="K5"/>
        <s v="Quest"/>
        <s v="Model Y"/>
        <s v="Venza"/>
      </sharedItems>
    </cacheField>
    <cacheField name="Jan" numFmtId="164">
      <sharedItems containsSemiMixedTypes="0" containsString="0" containsNumber="1" containsInteger="1" minValue="0" maxValue="60595"/>
    </cacheField>
    <cacheField name="Feb" numFmtId="164">
      <sharedItems containsSemiMixedTypes="0" containsString="0" containsNumber="1" containsInteger="1" minValue="0" maxValue="78449" count="282">
        <n v="78449"/>
        <n v="60425"/>
        <n v="54163"/>
        <n v="39626"/>
        <n v="28268"/>
        <n v="29245"/>
        <n v="30887"/>
        <n v="26590"/>
        <n v="25617"/>
        <n v="25111"/>
        <n v="17500"/>
        <n v="23678"/>
        <n v="22290"/>
        <n v="20609"/>
        <n v="20174"/>
        <n v="21060"/>
        <n v="20233"/>
        <n v="19909"/>
        <n v="18216"/>
        <n v="16458"/>
        <n v="14462"/>
        <n v="16680"/>
        <n v="15532"/>
        <n v="15490"/>
        <n v="14837"/>
        <n v="12665"/>
        <n v="14160"/>
        <n v="12655"/>
        <n v="12539"/>
        <n v="12446"/>
        <n v="10912"/>
        <n v="11876"/>
        <n v="10635"/>
        <n v="8287"/>
        <n v="10483"/>
        <n v="9594"/>
        <n v="10313"/>
        <n v="10441"/>
        <n v="9688"/>
        <n v="10041"/>
        <n v="8114"/>
        <n v="7936"/>
        <n v="9325"/>
        <n v="9312"/>
        <n v="7152"/>
        <n v="9011"/>
        <n v="8992"/>
        <n v="8822"/>
        <n v="7934"/>
        <n v="8059"/>
        <n v="8579"/>
        <n v="8322"/>
        <n v="8513"/>
        <n v="5760"/>
        <n v="7833"/>
        <n v="7608"/>
        <n v="7598"/>
        <n v="7487"/>
        <n v="7437"/>
        <n v="6494"/>
        <n v="5982"/>
        <n v="5816"/>
        <n v="6144"/>
        <n v="6875"/>
        <n v="7081"/>
        <n v="6967"/>
        <n v="6595"/>
        <n v="6479"/>
        <n v="6416"/>
        <n v="6371"/>
        <n v="6754"/>
        <n v="5956"/>
        <n v="5915"/>
        <n v="5874"/>
        <n v="5596"/>
        <n v="5508"/>
        <n v="7092"/>
        <n v="5434"/>
        <n v="1927"/>
        <n v="4532"/>
        <n v="3916"/>
        <n v="5120"/>
        <n v="5104"/>
        <n v="4778"/>
        <n v="5291"/>
        <n v="4963"/>
        <n v="4308"/>
        <n v="4982"/>
        <n v="4473"/>
        <n v="4463"/>
        <n v="4323"/>
        <n v="4246"/>
        <n v="4188"/>
        <n v="4030"/>
        <n v="0"/>
        <n v="3210"/>
        <n v="3933"/>
        <n v="3356"/>
        <n v="6213"/>
        <n v="4439"/>
        <n v="3843"/>
        <n v="3810"/>
        <n v="3794"/>
        <n v="3109"/>
        <n v="3680"/>
        <n v="3375"/>
        <n v="2926"/>
        <n v="2853"/>
        <n v="3238"/>
        <n v="3759"/>
        <n v="2434"/>
        <n v="3181"/>
        <n v="3754"/>
        <n v="3021"/>
        <n v="2969"/>
        <n v="2915"/>
        <n v="2883"/>
        <n v="2036"/>
        <n v="2683"/>
        <n v="2621"/>
        <n v="2429"/>
        <n v="2566"/>
        <n v="2515"/>
        <n v="1722"/>
        <n v="2470"/>
        <n v="1700"/>
        <n v="2410"/>
        <n v="2384"/>
        <n v="2383"/>
        <n v="2363"/>
        <n v="2354"/>
        <n v="2353"/>
        <n v="2344"/>
        <n v="2336"/>
        <n v="1968"/>
        <n v="2263"/>
        <n v="1730"/>
        <n v="2269"/>
        <n v="2276"/>
        <n v="2237"/>
        <n v="2214"/>
        <n v="2206"/>
        <n v="2171"/>
        <n v="2134"/>
        <n v="3082"/>
        <n v="2089"/>
        <n v="2088"/>
        <n v="1951"/>
        <n v="2027"/>
        <n v="2046"/>
        <n v="1993"/>
        <n v="1852"/>
        <n v="1550"/>
        <n v="1350"/>
        <n v="1321"/>
        <n v="1885"/>
        <n v="1250"/>
        <n v="1613"/>
        <n v="1261"/>
        <n v="1825"/>
        <n v="1787"/>
        <n v="1235"/>
        <n v="1759"/>
        <n v="1753"/>
        <n v="1738"/>
        <n v="1615"/>
        <n v="1142"/>
        <n v="1661"/>
        <n v="1481"/>
        <n v="1609"/>
        <n v="1607"/>
        <n v="1606"/>
        <n v="1588"/>
        <n v="1568"/>
        <n v="1555"/>
        <n v="1498"/>
        <n v="947"/>
        <n v="1464"/>
        <n v="1379"/>
        <n v="1385"/>
        <n v="1416"/>
        <n v="1226"/>
        <n v="1262"/>
        <n v="1083"/>
        <n v="1145"/>
        <n v="777"/>
        <n v="965"/>
        <n v="1089"/>
        <n v="730"/>
        <n v="1048"/>
        <n v="1037"/>
        <n v="1024"/>
        <n v="995"/>
        <n v="1063"/>
        <n v="961"/>
        <n v="1058"/>
        <n v="948"/>
        <n v="941"/>
        <n v="841"/>
        <n v="924"/>
        <n v="881"/>
        <n v="842"/>
        <n v="823"/>
        <n v="804"/>
        <n v="752"/>
        <n v="745"/>
        <n v="740"/>
        <n v="725"/>
        <n v="719"/>
        <n v="712"/>
        <n v="709"/>
        <n v="704"/>
        <n v="685"/>
        <n v="677"/>
        <n v="657"/>
        <n v="571"/>
        <n v="559"/>
        <n v="457"/>
        <n v="393"/>
        <n v="526"/>
        <n v="807"/>
        <n v="505"/>
        <n v="498"/>
        <n v="261"/>
        <n v="398"/>
        <n v="291"/>
        <n v="407"/>
        <n v="390"/>
        <n v="299"/>
        <n v="331"/>
        <n v="224"/>
        <n v="289"/>
        <n v="280"/>
        <n v="226"/>
        <n v="273"/>
        <n v="263"/>
        <n v="192"/>
        <n v="166"/>
        <n v="236"/>
        <n v="161"/>
        <n v="233"/>
        <n v="141"/>
        <n v="199"/>
        <n v="176"/>
        <n v="170"/>
        <n v="168"/>
        <n v="169"/>
        <n v="113"/>
        <n v="163"/>
        <n v="138"/>
        <n v="136"/>
        <n v="86"/>
        <n v="151"/>
        <n v="2798"/>
        <n v="119"/>
        <n v="83"/>
        <n v="60"/>
        <n v="84"/>
        <n v="74"/>
        <n v="59"/>
        <n v="67"/>
        <n v="58"/>
        <n v="55"/>
        <n v="48"/>
        <n v="47"/>
        <n v="46"/>
        <n v="41"/>
        <n v="23"/>
        <n v="33"/>
        <n v="27"/>
        <n v="28"/>
        <n v="24"/>
        <n v="22"/>
        <n v="20"/>
        <n v="17"/>
        <n v="13"/>
        <n v="9"/>
        <n v="10"/>
        <n v="7"/>
        <n v="3"/>
        <n v="1"/>
        <n v="2"/>
      </sharedItems>
    </cacheField>
    <cacheField name="Mar" numFmtId="164">
      <sharedItems containsSemiMixedTypes="0" containsString="0" containsNumber="1" containsInteger="1" minValue="0" maxValue="47517"/>
    </cacheField>
    <cacheField name="Apr" numFmtId="164">
      <sharedItems containsSemiMixedTypes="0" containsString="0" containsNumber="1" containsInteger="1" minValue="0" maxValue="32549"/>
    </cacheField>
    <cacheField name="May" numFmtId="164">
      <sharedItems containsSemiMixedTypes="0" containsString="0" containsNumber="1" containsInteger="1" minValue="0" maxValue="72330"/>
    </cacheField>
    <cacheField name="Jun" numFmtId="164">
      <sharedItems containsSemiMixedTypes="0" containsString="0" containsNumber="1" containsInteger="1" minValue="0" maxValue="75947"/>
    </cacheField>
    <cacheField name="Jul" numFmtId="164">
      <sharedItems containsSemiMixedTypes="0" containsString="0" containsNumber="1" containsInteger="1" minValue="0" maxValue="77720"/>
    </cacheField>
    <cacheField name="Aug" numFmtId="164">
      <sharedItems containsSemiMixedTypes="0" containsString="0" containsNumber="1" containsInteger="1" minValue="0" maxValue="69085"/>
    </cacheField>
    <cacheField name="Sep" numFmtId="164">
      <sharedItems containsSemiMixedTypes="0" containsString="0" containsNumber="1" containsInteger="1" minValue="0" maxValue="74842"/>
    </cacheField>
    <cacheField name="Oct" numFmtId="164">
      <sharedItems containsSemiMixedTypes="0" containsString="0" containsNumber="1" containsInteger="1" minValue="0" maxValue="71593"/>
    </cacheField>
    <cacheField name="Nov" numFmtId="164">
      <sharedItems containsSemiMixedTypes="0" containsString="0" containsNumber="1" containsInteger="1" minValue="0" maxValue="52698"/>
    </cacheField>
    <cacheField name="Dec" numFmtId="164">
      <sharedItems containsSemiMixedTypes="0" containsString="0" containsNumber="1" containsInteger="1" minValue="0" maxValue="74047"/>
    </cacheField>
    <cacheField name="Total" numFmtId="164">
      <sharedItems containsSemiMixedTypes="0" containsString="0" containsNumber="1" containsInteger="1" minValue="0" maxValue="787372"/>
    </cacheField>
  </cacheFields>
  <extLst>
    <ext xmlns:x14="http://schemas.microsoft.com/office/spreadsheetml/2009/9/main" uri="{725AE2AE-9491-48be-B2B4-4EB974FC3084}">
      <x14:pivotCacheDefinition pivotCacheId="86900300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Nguyen" refreshedDate="44330.727512847225" createdVersion="7" refreshedVersion="7" minRefreshableVersion="3" recordCount="18" xr:uid="{DC5E7B3A-885E-40CD-B845-A1644B445066}">
  <cacheSource type="worksheet">
    <worksheetSource ref="A5:O23" sheet="Sheet5"/>
  </cacheSource>
  <cacheFields count="15">
    <cacheField name="Model" numFmtId="49">
      <sharedItems containsMixedTypes="1" containsNumber="1" containsInteger="1" minValue="86" maxValue="86" count="18">
        <s v="Camry"/>
        <s v="Corolla"/>
        <s v="Prius"/>
        <s v="Sienna"/>
        <s v="Avalon"/>
        <s v="Yaris"/>
        <s v="Supra"/>
        <n v="86"/>
        <s v="Mirai"/>
        <s v="RAV4"/>
        <s v="Highlander"/>
        <s v="4Runner"/>
        <s v="C-HR"/>
        <s v="Venza"/>
        <s v="Sequoia"/>
        <s v="Land Cruiser"/>
        <s v="Tacoma"/>
        <s v="Tundra"/>
      </sharedItems>
    </cacheField>
    <cacheField name="Jan" numFmtId="164">
      <sharedItems containsSemiMixedTypes="0" containsString="0" containsNumber="1" containsInteger="1" minValue="0" maxValue="33130"/>
    </cacheField>
    <cacheField name="Feb" numFmtId="164">
      <sharedItems containsSemiMixedTypes="0" containsString="0" containsNumber="1" containsInteger="1" minValue="0" maxValue="39626"/>
    </cacheField>
    <cacheField name="Mar" numFmtId="164">
      <sharedItems containsSemiMixedTypes="0" containsString="0" containsNumber="1" containsInteger="1" minValue="0" maxValue="24875"/>
    </cacheField>
    <cacheField name="Apr" numFmtId="164">
      <sharedItems containsSemiMixedTypes="0" containsString="0" containsNumber="1" containsInteger="1" minValue="0" maxValue="15431"/>
    </cacheField>
    <cacheField name="May" numFmtId="164">
      <sharedItems containsSemiMixedTypes="0" containsString="0" containsNumber="1" containsInteger="1" minValue="0" maxValue="34292"/>
    </cacheField>
    <cacheField name="Jun" numFmtId="164">
      <sharedItems containsSemiMixedTypes="0" containsString="0" containsNumber="1" containsInteger="1" minValue="0" maxValue="36006"/>
    </cacheField>
    <cacheField name="Jul" numFmtId="164">
      <sharedItems containsSemiMixedTypes="0" containsString="0" containsNumber="1" containsInteger="1" minValue="0" maxValue="36323"/>
    </cacheField>
    <cacheField name="Aug" numFmtId="164">
      <sharedItems containsSemiMixedTypes="0" containsString="0" containsNumber="1" containsInteger="1" minValue="43" maxValue="39239"/>
    </cacheField>
    <cacheField name="Sep" numFmtId="164">
      <sharedItems containsSemiMixedTypes="0" containsString="0" containsNumber="1" containsInteger="1" minValue="41" maxValue="43652"/>
    </cacheField>
    <cacheField name="Oct" numFmtId="164">
      <sharedItems containsSemiMixedTypes="0" containsString="0" containsNumber="1" containsInteger="1" minValue="27" maxValue="40717"/>
    </cacheField>
    <cacheField name="Nov" numFmtId="164">
      <sharedItems containsSemiMixedTypes="0" containsString="0" containsNumber="1" containsInteger="1" minValue="111" maxValue="40250"/>
    </cacheField>
    <cacheField name="Dec" numFmtId="164">
      <sharedItems containsSemiMixedTypes="0" containsString="0" containsNumber="1" containsInteger="1" minValue="20" maxValue="46846"/>
    </cacheField>
    <cacheField name="Total" numFmtId="164">
      <sharedItems containsSemiMixedTypes="0" containsString="0" containsNumber="1" containsInteger="1" minValue="499" maxValue="430387"/>
    </cacheField>
    <cacheField name="Type" numFmtId="0">
      <sharedItems count="3">
        <s v="Car"/>
        <s v="SUV"/>
        <s v="Truc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">
  <r>
    <x v="0"/>
    <x v="0"/>
    <x v="0"/>
    <n v="60595"/>
    <x v="0"/>
    <n v="47517"/>
    <n v="32549"/>
    <n v="72330"/>
    <n v="75947"/>
    <n v="77720"/>
    <n v="69085"/>
    <n v="74842"/>
    <n v="71593"/>
    <n v="52698"/>
    <n v="74047"/>
    <n v="787372"/>
  </r>
  <r>
    <x v="1"/>
    <x v="1"/>
    <x v="1"/>
    <n v="46673"/>
    <x v="1"/>
    <n v="36600"/>
    <n v="22038"/>
    <n v="48973"/>
    <n v="51421"/>
    <n v="51715"/>
    <n v="45969"/>
    <n v="49800"/>
    <n v="60535"/>
    <n v="49725"/>
    <n v="69183"/>
    <n v="593057"/>
  </r>
  <r>
    <x v="2"/>
    <x v="2"/>
    <x v="2"/>
    <n v="41836"/>
    <x v="2"/>
    <n v="32807"/>
    <n v="21141"/>
    <n v="46979"/>
    <n v="49328"/>
    <n v="54756"/>
    <n v="48672"/>
    <n v="52728"/>
    <n v="54403"/>
    <n v="44688"/>
    <n v="62175"/>
    <n v="563676"/>
  </r>
  <r>
    <x v="3"/>
    <x v="3"/>
    <x v="3"/>
    <n v="33130"/>
    <x v="3"/>
    <n v="24875"/>
    <n v="15431"/>
    <n v="34292"/>
    <n v="36006"/>
    <n v="36323"/>
    <n v="39239"/>
    <n v="43652"/>
    <n v="40717"/>
    <n v="40250"/>
    <n v="46846"/>
    <n v="430387"/>
  </r>
  <r>
    <x v="4"/>
    <x v="4"/>
    <x v="4"/>
    <n v="26027"/>
    <x v="4"/>
    <n v="16891"/>
    <n v="12201"/>
    <n v="29023"/>
    <n v="26488"/>
    <n v="20473"/>
    <n v="34391"/>
    <n v="33572"/>
    <n v="32415"/>
    <n v="25633"/>
    <n v="38120"/>
    <n v="323502"/>
  </r>
  <r>
    <x v="5"/>
    <x v="3"/>
    <x v="5"/>
    <n v="24824"/>
    <x v="5"/>
    <n v="23119"/>
    <n v="8768"/>
    <n v="19484"/>
    <n v="20459"/>
    <n v="22792"/>
    <n v="27892"/>
    <n v="28362"/>
    <n v="29666"/>
    <n v="29373"/>
    <n v="30364"/>
    <n v="294348"/>
  </r>
  <r>
    <x v="6"/>
    <x v="1"/>
    <x v="6"/>
    <n v="23858"/>
    <x v="6"/>
    <n v="18708"/>
    <n v="9144"/>
    <n v="20319"/>
    <n v="21335"/>
    <n v="23660"/>
    <n v="21031"/>
    <n v="22784"/>
    <n v="26741"/>
    <n v="21966"/>
    <n v="30561"/>
    <n v="270994"/>
  </r>
  <r>
    <x v="7"/>
    <x v="3"/>
    <x v="7"/>
    <n v="23477"/>
    <x v="7"/>
    <n v="19147"/>
    <n v="7270"/>
    <n v="16155"/>
    <n v="16963"/>
    <n v="17564"/>
    <n v="19154"/>
    <n v="19894"/>
    <n v="21569"/>
    <n v="23987"/>
    <n v="25409"/>
    <n v="237179"/>
  </r>
  <r>
    <x v="8"/>
    <x v="4"/>
    <x v="8"/>
    <n v="20054"/>
    <x v="8"/>
    <n v="18273"/>
    <n v="13410"/>
    <n v="27244"/>
    <n v="23260"/>
    <n v="25188"/>
    <n v="25524"/>
    <n v="22371"/>
    <n v="21865"/>
    <n v="17372"/>
    <n v="21047"/>
    <n v="261225"/>
  </r>
  <r>
    <x v="9"/>
    <x v="5"/>
    <x v="9"/>
    <n v="19396"/>
    <x v="9"/>
    <n v="15210"/>
    <n v="8505"/>
    <n v="18900"/>
    <n v="19845"/>
    <n v="21192"/>
    <n v="18837"/>
    <n v="20407"/>
    <n v="20421"/>
    <n v="16774"/>
    <n v="23338"/>
    <n v="227936"/>
  </r>
  <r>
    <x v="10"/>
    <x v="6"/>
    <x v="10"/>
    <n v="19000"/>
    <x v="10"/>
    <n v="8000"/>
    <n v="5400"/>
    <n v="12000"/>
    <n v="12600"/>
    <n v="31208"/>
    <n v="27740"/>
    <n v="30052"/>
    <n v="14506"/>
    <n v="11916"/>
    <n v="16578"/>
    <n v="206500"/>
  </r>
  <r>
    <x v="11"/>
    <x v="0"/>
    <x v="11"/>
    <n v="18289"/>
    <x v="11"/>
    <n v="14342"/>
    <n v="8071"/>
    <n v="17936"/>
    <n v="18832"/>
    <n v="20709"/>
    <n v="18408"/>
    <n v="19942"/>
    <n v="21079"/>
    <n v="18848"/>
    <n v="26081"/>
    <n v="226215"/>
  </r>
  <r>
    <x v="12"/>
    <x v="7"/>
    <x v="12"/>
    <n v="17217"/>
    <x v="12"/>
    <n v="13501"/>
    <n v="9688"/>
    <n v="21530"/>
    <n v="22606"/>
    <n v="23778"/>
    <n v="21136"/>
    <n v="22898"/>
    <n v="26438"/>
    <n v="21717"/>
    <n v="30215"/>
    <n v="253014"/>
  </r>
  <r>
    <x v="13"/>
    <x v="3"/>
    <x v="13"/>
    <n v="17112"/>
    <x v="13"/>
    <n v="15915"/>
    <n v="9191"/>
    <n v="20425"/>
    <n v="21446"/>
    <n v="17412"/>
    <n v="20579"/>
    <n v="20929"/>
    <n v="23774"/>
    <n v="22456"/>
    <n v="28957"/>
    <n v="238805"/>
  </r>
  <r>
    <x v="14"/>
    <x v="3"/>
    <x v="14"/>
    <n v="17009"/>
    <x v="14"/>
    <n v="10707"/>
    <n v="5613"/>
    <n v="12472"/>
    <n v="13096"/>
    <n v="18128"/>
    <n v="21795"/>
    <n v="22307"/>
    <n v="22262"/>
    <n v="21935"/>
    <n v="26778"/>
    <n v="212276"/>
  </r>
  <r>
    <x v="15"/>
    <x v="8"/>
    <x v="15"/>
    <n v="16267"/>
    <x v="15"/>
    <n v="12756"/>
    <n v="8339"/>
    <n v="18530"/>
    <n v="19457"/>
    <n v="19793"/>
    <n v="17594"/>
    <n v="19060"/>
    <n v="19205"/>
    <n v="15776"/>
    <n v="21949"/>
    <n v="209786"/>
  </r>
  <r>
    <x v="16"/>
    <x v="0"/>
    <x v="16"/>
    <n v="15628"/>
    <x v="16"/>
    <n v="12255"/>
    <n v="6602"/>
    <n v="14672"/>
    <n v="15406"/>
    <n v="16465"/>
    <n v="14636"/>
    <n v="15855"/>
    <n v="15959"/>
    <n v="13411"/>
    <n v="17373"/>
    <n v="178495"/>
  </r>
  <r>
    <x v="17"/>
    <x v="5"/>
    <x v="17"/>
    <n v="15378"/>
    <x v="17"/>
    <n v="12059"/>
    <n v="3906"/>
    <n v="8681"/>
    <n v="9115"/>
    <n v="9830"/>
    <n v="8738"/>
    <n v="9466"/>
    <n v="13800"/>
    <n v="11335"/>
    <n v="15771"/>
    <n v="137988"/>
  </r>
  <r>
    <x v="18"/>
    <x v="4"/>
    <x v="18"/>
    <n v="15099"/>
    <x v="18"/>
    <n v="13810"/>
    <n v="8851"/>
    <n v="17369"/>
    <n v="15409"/>
    <n v="17221"/>
    <n v="19167"/>
    <n v="20149"/>
    <n v="19185"/>
    <n v="15473"/>
    <n v="19509"/>
    <n v="199458"/>
  </r>
  <r>
    <x v="19"/>
    <x v="9"/>
    <x v="19"/>
    <n v="13209"/>
    <x v="19"/>
    <n v="9413"/>
    <n v="9431"/>
    <n v="17859"/>
    <n v="19490"/>
    <n v="15313"/>
    <n v="17261"/>
    <n v="15648"/>
    <n v="14697"/>
    <n v="12211"/>
    <n v="16006"/>
    <n v="176996"/>
  </r>
  <r>
    <x v="20"/>
    <x v="10"/>
    <x v="20"/>
    <n v="12908"/>
    <x v="20"/>
    <n v="7841"/>
    <n v="5220"/>
    <n v="12140"/>
    <n v="12501"/>
    <n v="11878"/>
    <n v="13745"/>
    <n v="13582"/>
    <n v="11890"/>
    <n v="12299"/>
    <n v="17954"/>
    <n v="146420"/>
  </r>
  <r>
    <x v="21"/>
    <x v="8"/>
    <x v="21"/>
    <n v="12884"/>
    <x v="21"/>
    <n v="10103"/>
    <n v="10163"/>
    <n v="22585"/>
    <n v="23714"/>
    <n v="18960"/>
    <n v="16853"/>
    <n v="18258"/>
    <n v="17242"/>
    <n v="14163"/>
    <n v="19705"/>
    <n v="201310"/>
  </r>
  <r>
    <x v="22"/>
    <x v="0"/>
    <x v="22"/>
    <n v="11997"/>
    <x v="22"/>
    <n v="9408"/>
    <n v="4407"/>
    <n v="9794"/>
    <n v="10283"/>
    <n v="10254"/>
    <n v="9115"/>
    <n v="9874"/>
    <n v="6526"/>
    <n v="5902"/>
    <n v="7573"/>
    <n v="110665"/>
  </r>
  <r>
    <x v="23"/>
    <x v="0"/>
    <x v="23"/>
    <n v="11964"/>
    <x v="23"/>
    <n v="9382"/>
    <n v="3230"/>
    <n v="7178"/>
    <n v="7536"/>
    <n v="13637"/>
    <n v="12122"/>
    <n v="13132"/>
    <n v="12403"/>
    <n v="9917"/>
    <n v="15566"/>
    <n v="131557"/>
  </r>
  <r>
    <x v="24"/>
    <x v="1"/>
    <x v="24"/>
    <n v="11460"/>
    <x v="24"/>
    <n v="8987"/>
    <n v="2279"/>
    <n v="5064"/>
    <n v="5318"/>
    <n v="8926"/>
    <n v="7934"/>
    <n v="8595"/>
    <n v="9868"/>
    <n v="8106"/>
    <n v="11278"/>
    <n v="102652"/>
  </r>
  <r>
    <x v="25"/>
    <x v="9"/>
    <x v="25"/>
    <n v="11379"/>
    <x v="25"/>
    <n v="8571"/>
    <n v="8058"/>
    <n v="11382"/>
    <n v="10250"/>
    <n v="12158"/>
    <n v="14856"/>
    <n v="17023"/>
    <n v="16755"/>
    <n v="12921"/>
    <n v="17272"/>
    <n v="153290"/>
  </r>
  <r>
    <x v="26"/>
    <x v="8"/>
    <x v="26"/>
    <n v="10938"/>
    <x v="26"/>
    <n v="8577"/>
    <n v="4187"/>
    <n v="9305"/>
    <n v="9770"/>
    <n v="14370"/>
    <n v="12773"/>
    <n v="13838"/>
    <n v="12798"/>
    <n v="10512"/>
    <n v="14626"/>
    <n v="135854"/>
  </r>
  <r>
    <x v="27"/>
    <x v="1"/>
    <x v="27"/>
    <n v="9775"/>
    <x v="27"/>
    <n v="7665"/>
    <n v="4017"/>
    <n v="8926"/>
    <n v="9372"/>
    <n v="11082"/>
    <n v="9850"/>
    <n v="10671"/>
    <n v="14011"/>
    <n v="11509"/>
    <n v="16013"/>
    <n v="125546"/>
  </r>
  <r>
    <x v="28"/>
    <x v="8"/>
    <x v="28"/>
    <n v="9686"/>
    <x v="28"/>
    <n v="7595"/>
    <n v="3312"/>
    <n v="7360"/>
    <n v="7728"/>
    <n v="10375"/>
    <n v="9222"/>
    <n v="9991"/>
    <n v="10174"/>
    <n v="8358"/>
    <n v="11628"/>
    <n v="107968"/>
  </r>
  <r>
    <x v="29"/>
    <x v="0"/>
    <x v="29"/>
    <n v="9614"/>
    <x v="29"/>
    <n v="7539"/>
    <n v="3789"/>
    <n v="8421"/>
    <n v="8842"/>
    <n v="9191"/>
    <n v="8170"/>
    <n v="8850"/>
    <n v="10387"/>
    <n v="9096"/>
    <n v="12541"/>
    <n v="108886"/>
  </r>
  <r>
    <x v="30"/>
    <x v="3"/>
    <x v="30"/>
    <n v="9342"/>
    <x v="30"/>
    <n v="7818"/>
    <n v="5284"/>
    <n v="11742"/>
    <n v="12330"/>
    <n v="9310"/>
    <n v="9860"/>
    <n v="10229"/>
    <n v="12940"/>
    <n v="12416"/>
    <n v="16869"/>
    <n v="129052"/>
  </r>
  <r>
    <x v="31"/>
    <x v="1"/>
    <x v="31"/>
    <n v="9173"/>
    <x v="31"/>
    <n v="7193"/>
    <n v="4044"/>
    <n v="8986"/>
    <n v="9436"/>
    <n v="10339"/>
    <n v="9190"/>
    <n v="9956"/>
    <n v="8807"/>
    <n v="7234"/>
    <n v="10065"/>
    <n v="106299"/>
  </r>
  <r>
    <x v="32"/>
    <x v="7"/>
    <x v="32"/>
    <n v="8215"/>
    <x v="32"/>
    <n v="6442"/>
    <n v="2509"/>
    <n v="5576"/>
    <n v="5854"/>
    <n v="7473"/>
    <n v="6643"/>
    <n v="7197"/>
    <n v="8594"/>
    <n v="7060"/>
    <n v="9822"/>
    <n v="86020"/>
  </r>
  <r>
    <x v="33"/>
    <x v="9"/>
    <x v="33"/>
    <n v="8131"/>
    <x v="33"/>
    <n v="5098"/>
    <n v="4489"/>
    <n v="9486"/>
    <n v="10241"/>
    <n v="8913"/>
    <n v="10329"/>
    <n v="11950"/>
    <n v="14994"/>
    <n v="12841"/>
    <n v="14957"/>
    <n v="119716"/>
  </r>
  <r>
    <x v="34"/>
    <x v="11"/>
    <x v="34"/>
    <n v="8098"/>
    <x v="34"/>
    <n v="6350"/>
    <n v="952"/>
    <n v="2116"/>
    <n v="2222"/>
    <n v="2080"/>
    <n v="1849"/>
    <n v="2003"/>
    <n v="881"/>
    <n v="724"/>
    <n v="1007"/>
    <n v="38765"/>
  </r>
  <r>
    <x v="35"/>
    <x v="12"/>
    <x v="35"/>
    <n v="8068"/>
    <x v="35"/>
    <n v="6073"/>
    <n v="8438"/>
    <n v="15552"/>
    <n v="10216"/>
    <n v="10922"/>
    <n v="11632"/>
    <n v="10644"/>
    <n v="10898"/>
    <n v="9739"/>
    <n v="11881"/>
    <n v="123657"/>
  </r>
  <r>
    <x v="36"/>
    <x v="13"/>
    <x v="36"/>
    <n v="7966"/>
    <x v="36"/>
    <n v="6247"/>
    <n v="1992"/>
    <n v="4428"/>
    <n v="4649"/>
    <n v="10062"/>
    <n v="8944"/>
    <n v="0"/>
    <n v="9956"/>
    <n v="8178"/>
    <n v="11378"/>
    <n v="84113"/>
  </r>
  <r>
    <x v="37"/>
    <x v="12"/>
    <x v="37"/>
    <n v="7874"/>
    <x v="37"/>
    <n v="7430"/>
    <n v="7536"/>
    <n v="7608"/>
    <n v="7561"/>
    <n v="9283"/>
    <n v="9135"/>
    <n v="8235"/>
    <n v="11428"/>
    <n v="8095"/>
    <n v="10849"/>
    <n v="105475"/>
  </r>
  <r>
    <x v="38"/>
    <x v="4"/>
    <x v="38"/>
    <n v="7765"/>
    <x v="38"/>
    <n v="6445"/>
    <n v="6562"/>
    <n v="12227"/>
    <n v="12128"/>
    <n v="12036"/>
    <n v="12508"/>
    <n v="10643"/>
    <n v="11631"/>
    <n v="9126"/>
    <n v="13054"/>
    <n v="123813"/>
  </r>
  <r>
    <x v="39"/>
    <x v="5"/>
    <x v="39"/>
    <n v="7756"/>
    <x v="39"/>
    <n v="6082"/>
    <n v="3583"/>
    <n v="7963"/>
    <n v="8361"/>
    <n v="9147"/>
    <n v="8131"/>
    <n v="8808"/>
    <n v="8357"/>
    <n v="6865"/>
    <n v="9551"/>
    <n v="94645"/>
  </r>
  <r>
    <x v="40"/>
    <x v="4"/>
    <x v="40"/>
    <n v="7457"/>
    <x v="40"/>
    <n v="3843"/>
    <n v="2906"/>
    <n v="7063"/>
    <n v="7512"/>
    <n v="8402"/>
    <n v="8942"/>
    <n v="7560"/>
    <n v="7421"/>
    <n v="6379"/>
    <n v="8428"/>
    <n v="84027"/>
  </r>
  <r>
    <x v="41"/>
    <x v="14"/>
    <x v="41"/>
    <n v="7377"/>
    <x v="41"/>
    <n v="5534"/>
    <n v="2874"/>
    <n v="6386"/>
    <n v="6706"/>
    <n v="8800"/>
    <n v="10972"/>
    <n v="9666"/>
    <n v="9738"/>
    <n v="10556"/>
    <n v="14514"/>
    <n v="101059"/>
  </r>
  <r>
    <x v="42"/>
    <x v="15"/>
    <x v="42"/>
    <n v="7203"/>
    <x v="42"/>
    <n v="15463"/>
    <n v="4557"/>
    <n v="10127"/>
    <n v="10634"/>
    <n v="9842"/>
    <n v="8749"/>
    <n v="9478"/>
    <n v="8476"/>
    <n v="6962"/>
    <n v="9686"/>
    <n v="110502"/>
  </r>
  <r>
    <x v="43"/>
    <x v="1"/>
    <x v="43"/>
    <n v="7192"/>
    <x v="43"/>
    <n v="5640"/>
    <n v="3551"/>
    <n v="7890"/>
    <n v="8285"/>
    <n v="10339"/>
    <n v="9190"/>
    <n v="9956"/>
    <n v="7841"/>
    <n v="6441"/>
    <n v="8961"/>
    <n v="94598"/>
  </r>
  <r>
    <x v="44"/>
    <x v="12"/>
    <x v="44"/>
    <n v="7148"/>
    <x v="44"/>
    <n v="6358"/>
    <n v="5602"/>
    <n v="9549"/>
    <n v="8376"/>
    <n v="9296"/>
    <n v="9129"/>
    <n v="8566"/>
    <n v="9072"/>
    <n v="8765"/>
    <n v="12500"/>
    <n v="101513"/>
  </r>
  <r>
    <x v="45"/>
    <x v="1"/>
    <x v="45"/>
    <n v="6960"/>
    <x v="45"/>
    <n v="5458"/>
    <n v="3572"/>
    <n v="7937"/>
    <n v="8334"/>
    <n v="9557"/>
    <n v="8495"/>
    <n v="9203"/>
    <n v="9348"/>
    <n v="7678"/>
    <n v="10683"/>
    <n v="96236"/>
  </r>
  <r>
    <x v="46"/>
    <x v="15"/>
    <x v="46"/>
    <n v="6945"/>
    <x v="46"/>
    <n v="13623"/>
    <n v="2875"/>
    <n v="6388"/>
    <n v="6708"/>
    <n v="7054"/>
    <n v="6270"/>
    <n v="6792"/>
    <n v="8495"/>
    <n v="6978"/>
    <n v="9709"/>
    <n v="90829"/>
  </r>
  <r>
    <x v="47"/>
    <x v="0"/>
    <x v="47"/>
    <n v="6814"/>
    <x v="47"/>
    <n v="5344"/>
    <n v="4501"/>
    <n v="10003"/>
    <n v="10503"/>
    <n v="9941"/>
    <n v="8836"/>
    <n v="9573"/>
    <n v="8779"/>
    <n v="8495"/>
    <n v="9874"/>
    <n v="101485"/>
  </r>
  <r>
    <x v="48"/>
    <x v="16"/>
    <x v="48"/>
    <n v="6741"/>
    <x v="48"/>
    <n v="5382"/>
    <n v="3964"/>
    <n v="7576"/>
    <n v="8021"/>
    <n v="7945"/>
    <n v="7672"/>
    <n v="7165"/>
    <n v="6989"/>
    <n v="7039"/>
    <n v="7915"/>
    <n v="84343"/>
  </r>
  <r>
    <x v="49"/>
    <x v="3"/>
    <x v="49"/>
    <n v="6655"/>
    <x v="49"/>
    <n v="6944"/>
    <n v="4900"/>
    <n v="10889"/>
    <n v="11433"/>
    <n v="9066"/>
    <n v="10130"/>
    <n v="8738"/>
    <n v="9999"/>
    <n v="10266"/>
    <n v="12124"/>
    <n v="109203"/>
  </r>
  <r>
    <x v="50"/>
    <x v="1"/>
    <x v="50"/>
    <n v="6627"/>
    <x v="50"/>
    <n v="5197"/>
    <n v="2883"/>
    <n v="6406"/>
    <n v="6727"/>
    <n v="8107"/>
    <n v="7207"/>
    <n v="7807"/>
    <n v="9681"/>
    <n v="7952"/>
    <n v="11064"/>
    <n v="88237"/>
  </r>
  <r>
    <x v="51"/>
    <x v="0"/>
    <x v="51"/>
    <n v="6428"/>
    <x v="51"/>
    <n v="5041"/>
    <n v="2260"/>
    <n v="5022"/>
    <n v="5273"/>
    <n v="6803"/>
    <n v="6047"/>
    <n v="6551"/>
    <n v="9014"/>
    <n v="7025"/>
    <n v="10052"/>
    <n v="77838"/>
  </r>
  <r>
    <x v="52"/>
    <x v="16"/>
    <x v="52"/>
    <n v="6248"/>
    <x v="52"/>
    <n v="7598"/>
    <n v="4222"/>
    <n v="6603"/>
    <n v="6260"/>
    <n v="7410"/>
    <n v="8414"/>
    <n v="7643"/>
    <n v="8107"/>
    <n v="6860"/>
    <n v="7119"/>
    <n v="84997"/>
  </r>
  <r>
    <x v="53"/>
    <x v="16"/>
    <x v="53"/>
    <n v="6177"/>
    <x v="53"/>
    <n v="8408"/>
    <n v="6894"/>
    <n v="5854"/>
    <n v="5732"/>
    <n v="4949"/>
    <n v="3307"/>
    <n v="1020"/>
    <n v="255"/>
    <n v="104"/>
    <n v="24"/>
    <n v="48484"/>
  </r>
  <r>
    <x v="54"/>
    <x v="11"/>
    <x v="54"/>
    <n v="6050"/>
    <x v="54"/>
    <n v="4745"/>
    <n v="2062"/>
    <n v="4582"/>
    <n v="4812"/>
    <n v="8257"/>
    <n v="7339"/>
    <n v="7951"/>
    <n v="8027"/>
    <n v="6594"/>
    <n v="9174"/>
    <n v="77426"/>
  </r>
  <r>
    <x v="55"/>
    <x v="5"/>
    <x v="55"/>
    <n v="5876"/>
    <x v="55"/>
    <n v="4608"/>
    <n v="1595"/>
    <n v="3544"/>
    <n v="3722"/>
    <n v="3707"/>
    <n v="3295"/>
    <n v="3570"/>
    <n v="3729"/>
    <n v="3063"/>
    <n v="4262"/>
    <n v="48579"/>
  </r>
  <r>
    <x v="56"/>
    <x v="0"/>
    <x v="56"/>
    <n v="5869"/>
    <x v="56"/>
    <n v="4602"/>
    <n v="2829"/>
    <n v="6287"/>
    <n v="6601"/>
    <n v="4857"/>
    <n v="4317"/>
    <n v="4677"/>
    <n v="4399"/>
    <n v="4119"/>
    <n v="4935"/>
    <n v="61090"/>
  </r>
  <r>
    <x v="57"/>
    <x v="11"/>
    <x v="57"/>
    <n v="5783"/>
    <x v="57"/>
    <n v="4535"/>
    <n v="2105"/>
    <n v="4678"/>
    <n v="4911"/>
    <n v="5595"/>
    <n v="4974"/>
    <n v="5388"/>
    <n v="4174"/>
    <n v="3428"/>
    <n v="4770"/>
    <n v="57828"/>
  </r>
  <r>
    <x v="58"/>
    <x v="7"/>
    <x v="58"/>
    <n v="5744"/>
    <x v="58"/>
    <n v="4505"/>
    <n v="2744"/>
    <n v="6097"/>
    <n v="6402"/>
    <n v="6393"/>
    <n v="5682"/>
    <n v="6156"/>
    <n v="7212"/>
    <n v="5924"/>
    <n v="8242"/>
    <n v="72538"/>
  </r>
  <r>
    <x v="59"/>
    <x v="4"/>
    <x v="59"/>
    <n v="5622"/>
    <x v="59"/>
    <n v="4274"/>
    <n v="3933"/>
    <n v="7648"/>
    <n v="7946"/>
    <n v="7286"/>
    <n v="8644"/>
    <n v="7844"/>
    <n v="8001"/>
    <n v="7016"/>
    <n v="8701"/>
    <n v="83409"/>
  </r>
  <r>
    <x v="60"/>
    <x v="9"/>
    <x v="60"/>
    <n v="5606"/>
    <x v="60"/>
    <n v="4036"/>
    <n v="3954"/>
    <n v="5740"/>
    <n v="6079"/>
    <n v="6075"/>
    <n v="6619"/>
    <n v="5744"/>
    <n v="5865"/>
    <n v="5231"/>
    <n v="6692"/>
    <n v="67623"/>
  </r>
  <r>
    <x v="61"/>
    <x v="16"/>
    <x v="61"/>
    <n v="5530"/>
    <x v="61"/>
    <n v="5367"/>
    <n v="3565"/>
    <n v="6234"/>
    <n v="7439"/>
    <n v="7622"/>
    <n v="6968"/>
    <n v="6700"/>
    <n v="6318"/>
    <n v="4767"/>
    <n v="5446"/>
    <n v="71772"/>
  </r>
  <r>
    <x v="62"/>
    <x v="12"/>
    <x v="62"/>
    <n v="5501"/>
    <x v="62"/>
    <n v="3957"/>
    <n v="3428"/>
    <n v="5852"/>
    <n v="5407"/>
    <n v="6834"/>
    <n v="7965"/>
    <n v="8038"/>
    <n v="7570"/>
    <n v="8242"/>
    <n v="8059"/>
    <n v="76997"/>
  </r>
  <r>
    <x v="63"/>
    <x v="16"/>
    <x v="63"/>
    <n v="5470"/>
    <x v="63"/>
    <n v="5710"/>
    <n v="4286"/>
    <n v="7262"/>
    <n v="8193"/>
    <n v="8008"/>
    <n v="7809"/>
    <n v="6879"/>
    <n v="5832"/>
    <n v="2938"/>
    <n v="5415"/>
    <n v="74677"/>
  </r>
  <r>
    <x v="64"/>
    <x v="17"/>
    <x v="64"/>
    <n v="5469"/>
    <x v="64"/>
    <n v="4289"/>
    <n v="1806"/>
    <n v="4013"/>
    <n v="4214"/>
    <n v="3907"/>
    <n v="3473"/>
    <n v="3763"/>
    <n v="2138"/>
    <n v="1756"/>
    <n v="2444"/>
    <n v="44353"/>
  </r>
  <r>
    <x v="65"/>
    <x v="12"/>
    <x v="65"/>
    <n v="5432"/>
    <x v="65"/>
    <n v="3934"/>
    <n v="3331"/>
    <n v="7866"/>
    <n v="8169"/>
    <n v="8404"/>
    <n v="7983"/>
    <n v="7741"/>
    <n v="7519"/>
    <n v="6436"/>
    <n v="8123"/>
    <n v="81905"/>
  </r>
  <r>
    <x v="66"/>
    <x v="5"/>
    <x v="66"/>
    <n v="5094"/>
    <x v="66"/>
    <n v="3994"/>
    <n v="2573"/>
    <n v="5717"/>
    <n v="6003"/>
    <n v="5219"/>
    <n v="4639"/>
    <n v="5026"/>
    <n v="4519"/>
    <n v="3712"/>
    <n v="5165"/>
    <n v="58256"/>
  </r>
  <r>
    <x v="67"/>
    <x v="15"/>
    <x v="67"/>
    <n v="5004"/>
    <x v="67"/>
    <n v="10842"/>
    <n v="2938"/>
    <n v="6528"/>
    <n v="6855"/>
    <n v="8482"/>
    <n v="7539"/>
    <n v="8168"/>
    <n v="6870"/>
    <n v="5644"/>
    <n v="7852"/>
    <n v="83201"/>
  </r>
  <r>
    <x v="68"/>
    <x v="8"/>
    <x v="68"/>
    <n v="4956"/>
    <x v="68"/>
    <n v="3886"/>
    <n v="3522"/>
    <n v="7827"/>
    <n v="8219"/>
    <n v="7771"/>
    <n v="6908"/>
    <n v="7484"/>
    <n v="6933"/>
    <n v="5695"/>
    <n v="7924"/>
    <n v="77541"/>
  </r>
  <r>
    <x v="69"/>
    <x v="11"/>
    <x v="69"/>
    <n v="4921"/>
    <x v="69"/>
    <n v="3859"/>
    <n v="978"/>
    <n v="2174"/>
    <n v="2282"/>
    <n v="3564"/>
    <n v="3168"/>
    <n v="3432"/>
    <n v="3236"/>
    <n v="2658"/>
    <n v="3698"/>
    <n v="40341"/>
  </r>
  <r>
    <x v="70"/>
    <x v="16"/>
    <x v="70"/>
    <n v="4919"/>
    <x v="70"/>
    <n v="5153"/>
    <n v="3087"/>
    <n v="2599"/>
    <n v="2864"/>
    <n v="4822"/>
    <n v="7588"/>
    <n v="8829"/>
    <n v="9687"/>
    <n v="8993"/>
    <n v="9824"/>
    <n v="75119"/>
  </r>
  <r>
    <x v="71"/>
    <x v="8"/>
    <x v="71"/>
    <n v="4600"/>
    <x v="71"/>
    <n v="3608"/>
    <n v="2285"/>
    <n v="5078"/>
    <n v="5332"/>
    <n v="6649"/>
    <n v="5910"/>
    <n v="6402"/>
    <n v="5744"/>
    <n v="4718"/>
    <n v="6565"/>
    <n v="62847"/>
  </r>
  <r>
    <x v="72"/>
    <x v="7"/>
    <x v="72"/>
    <n v="4569"/>
    <x v="72"/>
    <n v="3583"/>
    <n v="1898"/>
    <n v="4217"/>
    <n v="4428"/>
    <n v="4935"/>
    <n v="4386"/>
    <n v="4752"/>
    <n v="8352"/>
    <n v="6861"/>
    <n v="9546"/>
    <n v="63442"/>
  </r>
  <r>
    <x v="73"/>
    <x v="5"/>
    <x v="73"/>
    <n v="4537"/>
    <x v="73"/>
    <n v="3558"/>
    <n v="1655"/>
    <n v="3677"/>
    <n v="3861"/>
    <n v="6830"/>
    <n v="6071"/>
    <n v="6577"/>
    <n v="5471"/>
    <n v="4494"/>
    <n v="6253"/>
    <n v="58858"/>
  </r>
  <r>
    <x v="74"/>
    <x v="1"/>
    <x v="74"/>
    <n v="4323"/>
    <x v="74"/>
    <n v="3390"/>
    <n v="1621"/>
    <n v="3602"/>
    <n v="3783"/>
    <n v="5184"/>
    <n v="4608"/>
    <n v="4992"/>
    <n v="6052"/>
    <n v="4972"/>
    <n v="6917"/>
    <n v="55040"/>
  </r>
  <r>
    <x v="75"/>
    <x v="18"/>
    <x v="75"/>
    <n v="4254"/>
    <x v="75"/>
    <n v="3336"/>
    <n v="1703"/>
    <n v="3784"/>
    <n v="3974"/>
    <n v="4007"/>
    <n v="3562"/>
    <n v="3859"/>
    <n v="6288"/>
    <n v="5165"/>
    <n v="7186"/>
    <n v="52626"/>
  </r>
  <r>
    <x v="76"/>
    <x v="12"/>
    <x v="76"/>
    <n v="4208"/>
    <x v="76"/>
    <n v="3874"/>
    <n v="3114"/>
    <n v="6536"/>
    <n v="5943"/>
    <n v="7077"/>
    <n v="7998"/>
    <n v="6971"/>
    <n v="6540"/>
    <n v="8551"/>
    <n v="8349"/>
    <n v="76253"/>
  </r>
  <r>
    <x v="77"/>
    <x v="0"/>
    <x v="77"/>
    <n v="4197"/>
    <x v="77"/>
    <n v="3291"/>
    <n v="3102"/>
    <n v="6893"/>
    <n v="7237"/>
    <n v="5977"/>
    <n v="5313"/>
    <n v="5755"/>
    <n v="4210"/>
    <n v="4318"/>
    <n v="4817"/>
    <n v="60544"/>
  </r>
  <r>
    <x v="78"/>
    <x v="19"/>
    <x v="78"/>
    <n v="4188"/>
    <x v="78"/>
    <n v="1167"/>
    <n v="733"/>
    <n v="1628"/>
    <n v="1710"/>
    <n v="1709"/>
    <n v="1513"/>
    <n v="1611"/>
    <n v="2376"/>
    <n v="1952"/>
    <n v="2716"/>
    <n v="23230"/>
  </r>
  <r>
    <x v="79"/>
    <x v="3"/>
    <x v="79"/>
    <n v="4089"/>
    <x v="79"/>
    <n v="2862"/>
    <n v="1620"/>
    <n v="3600"/>
    <n v="3780"/>
    <n v="4391"/>
    <n v="3905"/>
    <n v="3787"/>
    <n v="3633"/>
    <n v="3248"/>
    <n v="4078"/>
    <n v="43525"/>
  </r>
  <r>
    <x v="80"/>
    <x v="9"/>
    <x v="80"/>
    <n v="3978"/>
    <x v="80"/>
    <n v="2395"/>
    <n v="1857"/>
    <n v="3085"/>
    <n v="3389"/>
    <n v="4259"/>
    <n v="4654"/>
    <n v="4622"/>
    <n v="4329"/>
    <n v="3174"/>
    <n v="3970"/>
    <n v="43628"/>
  </r>
  <r>
    <x v="81"/>
    <x v="5"/>
    <x v="81"/>
    <n v="3955"/>
    <x v="81"/>
    <n v="3101"/>
    <n v="1380"/>
    <n v="3066"/>
    <n v="3220"/>
    <n v="3670"/>
    <n v="3262"/>
    <n v="3534"/>
    <n v="6060"/>
    <n v="4978"/>
    <n v="6926"/>
    <n v="48272"/>
  </r>
  <r>
    <x v="82"/>
    <x v="11"/>
    <x v="82"/>
    <n v="3942"/>
    <x v="82"/>
    <n v="3092"/>
    <n v="1778"/>
    <n v="3952"/>
    <n v="4150"/>
    <n v="5727"/>
    <n v="5090"/>
    <n v="5515"/>
    <n v="4927"/>
    <n v="4047"/>
    <n v="5631"/>
    <n v="52955"/>
  </r>
  <r>
    <x v="83"/>
    <x v="3"/>
    <x v="83"/>
    <n v="3934"/>
    <x v="83"/>
    <n v="3164"/>
    <n v="960"/>
    <n v="2133"/>
    <n v="2239"/>
    <n v="3462"/>
    <n v="3987"/>
    <n v="4124"/>
    <n v="2812"/>
    <n v="3779"/>
    <n v="7513"/>
    <n v="42885"/>
  </r>
  <r>
    <x v="84"/>
    <x v="20"/>
    <x v="84"/>
    <n v="3891"/>
    <x v="84"/>
    <n v="3627"/>
    <n v="972"/>
    <n v="864"/>
    <n v="900"/>
    <n v="2778"/>
    <n v="2470"/>
    <n v="2675"/>
    <n v="1236"/>
    <n v="1016"/>
    <n v="1413"/>
    <n v="27133"/>
  </r>
  <r>
    <x v="85"/>
    <x v="18"/>
    <x v="85"/>
    <n v="3833"/>
    <x v="85"/>
    <n v="3006"/>
    <n v="1710"/>
    <n v="3800"/>
    <n v="3990"/>
    <n v="3807"/>
    <n v="3384"/>
    <n v="3666"/>
    <n v="5396"/>
    <n v="4432"/>
    <n v="6166"/>
    <n v="48153"/>
  </r>
  <r>
    <x v="86"/>
    <x v="14"/>
    <x v="86"/>
    <n v="3826"/>
    <x v="86"/>
    <n v="3175"/>
    <n v="2055"/>
    <n v="4566"/>
    <n v="4795"/>
    <n v="4726"/>
    <n v="4784"/>
    <n v="3694"/>
    <n v="5470"/>
    <n v="6129"/>
    <n v="8256"/>
    <n v="55784"/>
  </r>
  <r>
    <x v="87"/>
    <x v="21"/>
    <x v="87"/>
    <n v="3493"/>
    <x v="87"/>
    <n v="2678"/>
    <n v="1760"/>
    <n v="4427"/>
    <n v="5410"/>
    <n v="5317"/>
    <n v="5057"/>
    <n v="4664"/>
    <n v="5022"/>
    <n v="4155"/>
    <n v="5820"/>
    <n v="52785"/>
  </r>
  <r>
    <x v="88"/>
    <x v="19"/>
    <x v="88"/>
    <n v="3455"/>
    <x v="88"/>
    <n v="2709"/>
    <n v="1533"/>
    <n v="3407"/>
    <n v="3577"/>
    <n v="4491"/>
    <n v="3977"/>
    <n v="4234"/>
    <n v="6294"/>
    <n v="5170"/>
    <n v="7193"/>
    <n v="50513"/>
  </r>
  <r>
    <x v="89"/>
    <x v="19"/>
    <x v="89"/>
    <n v="3447"/>
    <x v="89"/>
    <n v="2703"/>
    <n v="1703"/>
    <n v="3784"/>
    <n v="3973"/>
    <n v="5714"/>
    <n v="5061"/>
    <n v="5388"/>
    <n v="7942"/>
    <n v="6523"/>
    <n v="9076"/>
    <n v="59777"/>
  </r>
  <r>
    <x v="90"/>
    <x v="19"/>
    <x v="90"/>
    <n v="3447"/>
    <x v="89"/>
    <n v="2703"/>
    <n v="1388"/>
    <n v="3085"/>
    <n v="3239"/>
    <n v="3638"/>
    <n v="3222"/>
    <n v="1383"/>
    <n v="4292"/>
    <n v="3525"/>
    <n v="4905"/>
    <n v="39290"/>
  </r>
  <r>
    <x v="91"/>
    <x v="5"/>
    <x v="91"/>
    <n v="3339"/>
    <x v="90"/>
    <n v="2618"/>
    <n v="1583"/>
    <n v="3518"/>
    <n v="3693"/>
    <n v="2529"/>
    <n v="2248"/>
    <n v="20407"/>
    <n v="3562"/>
    <n v="2926"/>
    <n v="4071"/>
    <n v="54817"/>
  </r>
  <r>
    <x v="92"/>
    <x v="0"/>
    <x v="92"/>
    <n v="3280"/>
    <x v="91"/>
    <n v="2572"/>
    <n v="1044"/>
    <n v="2321"/>
    <n v="2437"/>
    <n v="3256"/>
    <n v="2894"/>
    <n v="3136"/>
    <n v="4469"/>
    <n v="3412"/>
    <n v="3934"/>
    <n v="37001"/>
  </r>
  <r>
    <x v="93"/>
    <x v="22"/>
    <x v="93"/>
    <n v="3235"/>
    <x v="92"/>
    <n v="2537"/>
    <n v="1453"/>
    <n v="3229"/>
    <n v="3390"/>
    <n v="3976"/>
    <n v="3534"/>
    <n v="3829"/>
    <n v="7106"/>
    <n v="5837"/>
    <n v="8121"/>
    <n v="50435"/>
  </r>
  <r>
    <x v="94"/>
    <x v="2"/>
    <x v="94"/>
    <n v="3113"/>
    <x v="93"/>
    <n v="2441"/>
    <n v="1424"/>
    <n v="3165"/>
    <n v="3323"/>
    <n v="5610"/>
    <n v="4986"/>
    <n v="5402"/>
    <n v="5755"/>
    <n v="4727"/>
    <n v="6577"/>
    <n v="50553"/>
  </r>
  <r>
    <x v="95"/>
    <x v="1"/>
    <x v="95"/>
    <n v="3084"/>
    <x v="94"/>
    <n v="2418"/>
    <n v="1263"/>
    <n v="2806"/>
    <n v="2947"/>
    <n v="2647"/>
    <n v="2353"/>
    <n v="2549"/>
    <n v="4580"/>
    <n v="3762"/>
    <n v="5235"/>
    <n v="33644"/>
  </r>
  <r>
    <x v="96"/>
    <x v="4"/>
    <x v="96"/>
    <n v="3083"/>
    <x v="95"/>
    <n v="1832"/>
    <n v="1460"/>
    <n v="2553"/>
    <n v="2367"/>
    <n v="2771"/>
    <n v="3081"/>
    <n v="2755"/>
    <n v="3401"/>
    <n v="2528"/>
    <n v="3127"/>
    <n v="32168"/>
  </r>
  <r>
    <x v="97"/>
    <x v="1"/>
    <x v="97"/>
    <n v="3038"/>
    <x v="96"/>
    <n v="2382"/>
    <n v="956"/>
    <n v="2124"/>
    <n v="2231"/>
    <n v="2936"/>
    <n v="2610"/>
    <n v="2827"/>
    <n v="3523"/>
    <n v="2894"/>
    <n v="4026"/>
    <n v="33480"/>
  </r>
  <r>
    <x v="98"/>
    <x v="14"/>
    <x v="98"/>
    <n v="3037"/>
    <x v="97"/>
    <n v="2854"/>
    <n v="1397"/>
    <n v="3105"/>
    <n v="3260"/>
    <n v="3868"/>
    <n v="4366"/>
    <n v="4541"/>
    <n v="4117"/>
    <n v="4290"/>
    <n v="5101"/>
    <n v="43292"/>
  </r>
  <r>
    <x v="99"/>
    <x v="20"/>
    <x v="99"/>
    <n v="3011"/>
    <x v="98"/>
    <n v="3353"/>
    <n v="1495"/>
    <n v="1329"/>
    <n v="1384"/>
    <n v="2707"/>
    <n v="2406"/>
    <n v="2606"/>
    <n v="1461"/>
    <n v="1200"/>
    <n v="1670"/>
    <n v="28835"/>
  </r>
  <r>
    <x v="100"/>
    <x v="3"/>
    <x v="100"/>
    <n v="2961"/>
    <x v="99"/>
    <n v="2972"/>
    <n v="1989"/>
    <n v="4421"/>
    <n v="4642"/>
    <n v="3677"/>
    <n v="3897"/>
    <n v="4606"/>
    <n v="3358"/>
    <n v="2666"/>
    <n v="3308"/>
    <n v="42936"/>
  </r>
  <r>
    <x v="101"/>
    <x v="21"/>
    <x v="101"/>
    <n v="2961"/>
    <x v="100"/>
    <n v="2137"/>
    <n v="1725"/>
    <n v="3331"/>
    <n v="3977"/>
    <n v="4494"/>
    <n v="5165"/>
    <n v="4920"/>
    <n v="4732"/>
    <n v="4491"/>
    <n v="6040"/>
    <n v="47816"/>
  </r>
  <r>
    <x v="102"/>
    <x v="23"/>
    <x v="102"/>
    <n v="2943"/>
    <x v="101"/>
    <n v="2308"/>
    <n v="560"/>
    <n v="1244"/>
    <n v="1306"/>
    <n v="1870"/>
    <n v="1663"/>
    <n v="1801"/>
    <n v="1813"/>
    <n v="1489"/>
    <n v="2072"/>
    <n v="22879"/>
  </r>
  <r>
    <x v="103"/>
    <x v="24"/>
    <x v="103"/>
    <n v="2931"/>
    <x v="102"/>
    <n v="2298"/>
    <n v="1041"/>
    <n v="2313"/>
    <n v="2429"/>
    <n v="3320"/>
    <n v="2951"/>
    <n v="3197"/>
    <n v="3694"/>
    <n v="3034"/>
    <n v="4222"/>
    <n v="35224"/>
  </r>
  <r>
    <x v="104"/>
    <x v="4"/>
    <x v="104"/>
    <n v="2846"/>
    <x v="103"/>
    <n v="1878"/>
    <n v="1594"/>
    <n v="3536"/>
    <n v="3060"/>
    <n v="3291"/>
    <n v="4070"/>
    <n v="4281"/>
    <n v="4102"/>
    <n v="3456"/>
    <n v="4344"/>
    <n v="39567"/>
  </r>
  <r>
    <x v="105"/>
    <x v="17"/>
    <x v="105"/>
    <n v="2843"/>
    <x v="104"/>
    <n v="2229"/>
    <n v="1342"/>
    <n v="2981"/>
    <n v="3130"/>
    <n v="3484"/>
    <n v="3097"/>
    <n v="3355"/>
    <n v="4162"/>
    <n v="3419"/>
    <n v="4757"/>
    <n v="38479"/>
  </r>
  <r>
    <x v="106"/>
    <x v="5"/>
    <x v="106"/>
    <n v="2607"/>
    <x v="105"/>
    <n v="2044"/>
    <n v="923"/>
    <n v="2051"/>
    <n v="2153"/>
    <n v="1531"/>
    <n v="1361"/>
    <n v="1474"/>
    <n v="715"/>
    <n v="587"/>
    <n v="817"/>
    <n v="19638"/>
  </r>
  <r>
    <x v="107"/>
    <x v="10"/>
    <x v="107"/>
    <n v="2552"/>
    <x v="106"/>
    <n v="1741"/>
    <n v="1084"/>
    <n v="2421"/>
    <n v="2727"/>
    <n v="2335"/>
    <n v="2443"/>
    <n v="2183"/>
    <n v="2382"/>
    <n v="1972"/>
    <n v="2872"/>
    <n v="27638"/>
  </r>
  <r>
    <x v="108"/>
    <x v="4"/>
    <x v="108"/>
    <n v="2534"/>
    <x v="107"/>
    <n v="1792"/>
    <n v="1187"/>
    <n v="2598"/>
    <n v="2923"/>
    <n v="3571"/>
    <n v="3814"/>
    <n v="3116"/>
    <n v="3082"/>
    <n v="2313"/>
    <n v="2705"/>
    <n v="32488"/>
  </r>
  <r>
    <x v="109"/>
    <x v="15"/>
    <x v="109"/>
    <n v="2501"/>
    <x v="108"/>
    <n v="2529"/>
    <n v="827"/>
    <n v="1838"/>
    <n v="1930"/>
    <n v="1751"/>
    <n v="1557"/>
    <n v="1687"/>
    <n v="1564"/>
    <n v="1285"/>
    <n v="1788"/>
    <n v="22495"/>
  </r>
  <r>
    <x v="110"/>
    <x v="10"/>
    <x v="110"/>
    <n v="2496"/>
    <x v="109"/>
    <n v="1863"/>
    <n v="1492"/>
    <n v="3368"/>
    <n v="3250"/>
    <n v="3231"/>
    <n v="3175"/>
    <n v="2535"/>
    <n v="2570"/>
    <n v="2613"/>
    <n v="3256"/>
    <n v="33608"/>
  </r>
  <r>
    <x v="111"/>
    <x v="9"/>
    <x v="111"/>
    <n v="2471"/>
    <x v="110"/>
    <n v="1630"/>
    <n v="1358"/>
    <n v="1954"/>
    <n v="2054"/>
    <n v="2629"/>
    <n v="2681"/>
    <n v="2825"/>
    <n v="2490"/>
    <n v="2192"/>
    <n v="2522"/>
    <n v="27240"/>
  </r>
  <r>
    <x v="112"/>
    <x v="0"/>
    <x v="112"/>
    <n v="2457"/>
    <x v="111"/>
    <n v="1927"/>
    <n v="1217"/>
    <n v="2704"/>
    <n v="2839"/>
    <n v="3828"/>
    <n v="3402"/>
    <n v="3686"/>
    <n v="2886"/>
    <n v="2993"/>
    <n v="3476"/>
    <n v="34596"/>
  </r>
  <r>
    <x v="113"/>
    <x v="10"/>
    <x v="113"/>
    <n v="2368"/>
    <x v="112"/>
    <n v="2242"/>
    <n v="1483"/>
    <n v="3583"/>
    <n v="3526"/>
    <n v="3787"/>
    <n v="3862"/>
    <n v="3188"/>
    <n v="3214"/>
    <n v="2649"/>
    <n v="4408"/>
    <n v="38064"/>
  </r>
  <r>
    <x v="114"/>
    <x v="1"/>
    <x v="114"/>
    <n v="2334"/>
    <x v="113"/>
    <n v="1830"/>
    <n v="1202"/>
    <n v="2670"/>
    <n v="2804"/>
    <n v="2934"/>
    <n v="2608"/>
    <n v="2825"/>
    <n v="2547"/>
    <n v="2092"/>
    <n v="2910"/>
    <n v="29777"/>
  </r>
  <r>
    <x v="115"/>
    <x v="18"/>
    <x v="115"/>
    <n v="2293"/>
    <x v="114"/>
    <n v="1798"/>
    <n v="1234"/>
    <n v="2743"/>
    <n v="2880"/>
    <n v="2271"/>
    <n v="2018"/>
    <n v="2187"/>
    <n v="2263"/>
    <n v="1859"/>
    <n v="2587"/>
    <n v="27102"/>
  </r>
  <r>
    <x v="116"/>
    <x v="17"/>
    <x v="116"/>
    <n v="2252"/>
    <x v="115"/>
    <n v="1766"/>
    <n v="1419"/>
    <n v="3152"/>
    <n v="3310"/>
    <n v="4087"/>
    <n v="3633"/>
    <n v="3935"/>
    <n v="2859"/>
    <n v="2348"/>
    <n v="3267"/>
    <n v="34943"/>
  </r>
  <r>
    <x v="117"/>
    <x v="18"/>
    <x v="117"/>
    <n v="2227"/>
    <x v="116"/>
    <n v="1746"/>
    <n v="0"/>
    <n v="2610"/>
    <n v="2741"/>
    <n v="2530"/>
    <n v="2249"/>
    <n v="2436"/>
    <n v="1922"/>
    <n v="1579"/>
    <n v="2196"/>
    <n v="25119"/>
  </r>
  <r>
    <x v="118"/>
    <x v="20"/>
    <x v="118"/>
    <n v="2118"/>
    <x v="117"/>
    <n v="1030"/>
    <n v="413"/>
    <n v="367"/>
    <n v="382"/>
    <n v="852"/>
    <n v="757"/>
    <n v="820"/>
    <n v="521"/>
    <n v="428"/>
    <n v="595"/>
    <n v="10319"/>
  </r>
  <r>
    <x v="119"/>
    <x v="18"/>
    <x v="119"/>
    <n v="2073"/>
    <x v="118"/>
    <n v="1625"/>
    <n v="945"/>
    <n v="2101"/>
    <n v="2206"/>
    <n v="1857"/>
    <n v="1650"/>
    <n v="1788"/>
    <n v="1769"/>
    <n v="1453"/>
    <n v="2022"/>
    <n v="22172"/>
  </r>
  <r>
    <x v="120"/>
    <x v="22"/>
    <x v="120"/>
    <n v="2024"/>
    <x v="119"/>
    <n v="1587"/>
    <n v="795"/>
    <n v="1767"/>
    <n v="1856"/>
    <n v="2151"/>
    <n v="1912"/>
    <n v="2071"/>
    <n v="2897"/>
    <n v="2380"/>
    <n v="3311"/>
    <n v="25372"/>
  </r>
  <r>
    <x v="121"/>
    <x v="25"/>
    <x v="121"/>
    <n v="1994"/>
    <x v="120"/>
    <n v="1664"/>
    <n v="1286"/>
    <n v="3072"/>
    <n v="3454"/>
    <n v="2966"/>
    <n v="2998"/>
    <n v="2672"/>
    <n v="3257"/>
    <n v="3516"/>
    <n v="4943"/>
    <n v="34251"/>
  </r>
  <r>
    <x v="122"/>
    <x v="5"/>
    <x v="122"/>
    <n v="1982"/>
    <x v="121"/>
    <n v="1554"/>
    <n v="717"/>
    <n v="1673"/>
    <n v="1673"/>
    <n v="1392"/>
    <n v="1237"/>
    <n v="1340"/>
    <n v="1352"/>
    <n v="1110"/>
    <n v="1545"/>
    <n v="18141"/>
  </r>
  <r>
    <x v="123"/>
    <x v="15"/>
    <x v="123"/>
    <n v="1943"/>
    <x v="122"/>
    <n v="3156"/>
    <n v="742"/>
    <n v="1648"/>
    <n v="1730"/>
    <n v="2135"/>
    <n v="1898"/>
    <n v="2056"/>
    <n v="2285"/>
    <n v="1877"/>
    <n v="2612"/>
    <n v="24597"/>
  </r>
  <r>
    <x v="124"/>
    <x v="26"/>
    <x v="124"/>
    <n v="1938"/>
    <x v="123"/>
    <n v="1794"/>
    <n v="684"/>
    <n v="1520"/>
    <n v="1596"/>
    <n v="1332"/>
    <n v="1184"/>
    <n v="1283"/>
    <n v="2361"/>
    <n v="1940"/>
    <n v="2699"/>
    <n v="20053"/>
  </r>
  <r>
    <x v="125"/>
    <x v="1"/>
    <x v="125"/>
    <n v="1908"/>
    <x v="124"/>
    <n v="1496"/>
    <n v="449"/>
    <n v="998"/>
    <n v="1048"/>
    <n v="1992"/>
    <n v="1771"/>
    <n v="1919"/>
    <n v="2261"/>
    <n v="1857"/>
    <n v="2584"/>
    <n v="20753"/>
  </r>
  <r>
    <x v="126"/>
    <x v="6"/>
    <x v="126"/>
    <n v="1900"/>
    <x v="125"/>
    <n v="1000"/>
    <n v="576"/>
    <n v="1280"/>
    <n v="1344"/>
    <n v="2630"/>
    <n v="2338"/>
    <n v="2532"/>
    <n v="1687"/>
    <n v="1386"/>
    <n v="1928"/>
    <n v="20301"/>
  </r>
  <r>
    <x v="127"/>
    <x v="5"/>
    <x v="127"/>
    <n v="1862"/>
    <x v="126"/>
    <n v="1460"/>
    <n v="1164"/>
    <n v="2586"/>
    <n v="2715"/>
    <n v="2527"/>
    <n v="2246"/>
    <n v="2434"/>
    <n v="2374"/>
    <n v="1950"/>
    <n v="2713"/>
    <n v="26441"/>
  </r>
  <r>
    <x v="128"/>
    <x v="27"/>
    <x v="128"/>
    <n v="1842"/>
    <x v="127"/>
    <n v="1444"/>
    <n v="983"/>
    <n v="2185"/>
    <n v="2294"/>
    <n v="2470"/>
    <n v="2196"/>
    <n v="2378"/>
    <n v="3053"/>
    <n v="2242"/>
    <n v="2755"/>
    <n v="26226"/>
  </r>
  <r>
    <x v="129"/>
    <x v="27"/>
    <x v="129"/>
    <n v="1840"/>
    <x v="128"/>
    <n v="1443"/>
    <n v="723"/>
    <n v="1606"/>
    <n v="1687"/>
    <n v="2145"/>
    <n v="1907"/>
    <n v="2066"/>
    <n v="2184"/>
    <n v="1942"/>
    <n v="3154"/>
    <n v="23080"/>
  </r>
  <r>
    <x v="130"/>
    <x v="24"/>
    <x v="130"/>
    <n v="1825"/>
    <x v="129"/>
    <n v="1431"/>
    <n v="888"/>
    <n v="1974"/>
    <n v="2073"/>
    <n v="1591"/>
    <n v="1414"/>
    <n v="1532"/>
    <n v="3189"/>
    <n v="2620"/>
    <n v="3645"/>
    <n v="24545"/>
  </r>
  <r>
    <x v="131"/>
    <x v="23"/>
    <x v="131"/>
    <n v="1818"/>
    <x v="130"/>
    <n v="1426"/>
    <n v="655"/>
    <n v="1455"/>
    <n v="1528"/>
    <n v="721"/>
    <n v="641"/>
    <n v="695"/>
    <n v="1630"/>
    <n v="1339"/>
    <n v="1863"/>
    <n v="16125"/>
  </r>
  <r>
    <x v="132"/>
    <x v="13"/>
    <x v="132"/>
    <n v="1818"/>
    <x v="131"/>
    <n v="1245"/>
    <n v="502"/>
    <n v="1115"/>
    <n v="1171"/>
    <n v="1112"/>
    <n v="988"/>
    <n v="1070"/>
    <n v="1720"/>
    <n v="1413"/>
    <n v="1966"/>
    <n v="16473"/>
  </r>
  <r>
    <x v="133"/>
    <x v="23"/>
    <x v="133"/>
    <n v="1811"/>
    <x v="132"/>
    <n v="1420"/>
    <n v="656"/>
    <n v="1457"/>
    <n v="1530"/>
    <n v="1356"/>
    <n v="1206"/>
    <n v="1306"/>
    <n v="1163"/>
    <n v="955"/>
    <n v="1329"/>
    <n v="16533"/>
  </r>
  <r>
    <x v="134"/>
    <x v="22"/>
    <x v="134"/>
    <n v="1805"/>
    <x v="133"/>
    <n v="1415"/>
    <n v="794"/>
    <n v="1764"/>
    <n v="1853"/>
    <n v="2571"/>
    <n v="2286"/>
    <n v="2476"/>
    <n v="3357"/>
    <n v="2758"/>
    <n v="3837"/>
    <n v="27252"/>
  </r>
  <r>
    <x v="135"/>
    <x v="14"/>
    <x v="135"/>
    <n v="1804"/>
    <x v="134"/>
    <n v="1350"/>
    <n v="1115"/>
    <n v="2478"/>
    <n v="2601"/>
    <n v="2167"/>
    <n v="2706"/>
    <n v="2388"/>
    <n v="2828"/>
    <n v="2975"/>
    <n v="4139"/>
    <n v="28519"/>
  </r>
  <r>
    <x v="136"/>
    <x v="21"/>
    <x v="136"/>
    <n v="1769"/>
    <x v="135"/>
    <n v="1452"/>
    <n v="1024"/>
    <n v="1467"/>
    <n v="1439"/>
    <n v="1886"/>
    <n v="1973"/>
    <n v="1848"/>
    <n v="2365"/>
    <n v="2014"/>
    <n v="2285"/>
    <n v="21785"/>
  </r>
  <r>
    <x v="137"/>
    <x v="10"/>
    <x v="137"/>
    <n v="1755"/>
    <x v="136"/>
    <n v="1021"/>
    <n v="746"/>
    <n v="1477"/>
    <n v="1356"/>
    <n v="1199"/>
    <n v="1230"/>
    <n v="1451"/>
    <n v="1356"/>
    <n v="1196"/>
    <n v="1687"/>
    <n v="16204"/>
  </r>
  <r>
    <x v="138"/>
    <x v="19"/>
    <x v="138"/>
    <n v="1752"/>
    <x v="137"/>
    <n v="1374"/>
    <n v="889"/>
    <n v="1976"/>
    <n v="2075"/>
    <n v="1877"/>
    <n v="1663"/>
    <n v="553"/>
    <n v="3740"/>
    <n v="3072"/>
    <n v="4275"/>
    <n v="25515"/>
  </r>
  <r>
    <x v="139"/>
    <x v="25"/>
    <x v="139"/>
    <n v="1737"/>
    <x v="138"/>
    <n v="1556"/>
    <n v="1053"/>
    <n v="2723"/>
    <n v="2867"/>
    <n v="2637"/>
    <n v="2981"/>
    <n v="2632"/>
    <n v="3571"/>
    <n v="3756"/>
    <n v="4289"/>
    <n v="32078"/>
  </r>
  <r>
    <x v="140"/>
    <x v="22"/>
    <x v="140"/>
    <n v="1728"/>
    <x v="139"/>
    <n v="1355"/>
    <n v="898"/>
    <n v="1996"/>
    <n v="2096"/>
    <n v="1304"/>
    <n v="1159"/>
    <n v="1255"/>
    <n v="1619"/>
    <n v="1330"/>
    <n v="1850"/>
    <n v="18827"/>
  </r>
  <r>
    <x v="141"/>
    <x v="18"/>
    <x v="141"/>
    <n v="1710"/>
    <x v="140"/>
    <n v="1341"/>
    <n v="1307"/>
    <n v="2904"/>
    <n v="3049"/>
    <n v="3506"/>
    <n v="3117"/>
    <n v="3377"/>
    <n v="5056"/>
    <n v="4153"/>
    <n v="5779"/>
    <n v="37513"/>
  </r>
  <r>
    <x v="142"/>
    <x v="27"/>
    <x v="142"/>
    <n v="1704"/>
    <x v="141"/>
    <n v="1336"/>
    <n v="906"/>
    <n v="2014"/>
    <n v="2115"/>
    <n v="2024"/>
    <n v="1799"/>
    <n v="1949"/>
    <n v="2123"/>
    <n v="1874"/>
    <n v="2693"/>
    <n v="22743"/>
  </r>
  <r>
    <x v="143"/>
    <x v="24"/>
    <x v="143"/>
    <n v="1677"/>
    <x v="142"/>
    <n v="1315"/>
    <n v="716"/>
    <n v="1591"/>
    <n v="1671"/>
    <n v="2225"/>
    <n v="1978"/>
    <n v="2142"/>
    <n v="2357"/>
    <n v="1936"/>
    <n v="2694"/>
    <n v="22473"/>
  </r>
  <r>
    <x v="144"/>
    <x v="24"/>
    <x v="144"/>
    <n v="1648"/>
    <x v="143"/>
    <n v="1292"/>
    <n v="744"/>
    <n v="1652"/>
    <n v="1735"/>
    <n v="2191"/>
    <n v="1948"/>
    <n v="2110"/>
    <n v="2414"/>
    <n v="1983"/>
    <n v="2759"/>
    <n v="22610"/>
  </r>
  <r>
    <x v="145"/>
    <x v="16"/>
    <x v="145"/>
    <n v="1628"/>
    <x v="144"/>
    <n v="2135"/>
    <n v="1436"/>
    <n v="1760"/>
    <n v="1706"/>
    <n v="2056"/>
    <n v="2097"/>
    <n v="2143"/>
    <n v="2104"/>
    <n v="1728"/>
    <n v="2052"/>
    <n v="23927"/>
  </r>
  <r>
    <x v="146"/>
    <x v="18"/>
    <x v="146"/>
    <n v="1614"/>
    <x v="145"/>
    <n v="1266"/>
    <n v="509"/>
    <n v="1131"/>
    <n v="1188"/>
    <n v="3055"/>
    <n v="2715"/>
    <n v="2942"/>
    <n v="2982"/>
    <n v="2449"/>
    <n v="3408"/>
    <n v="25348"/>
  </r>
  <r>
    <x v="147"/>
    <x v="1"/>
    <x v="147"/>
    <n v="1613"/>
    <x v="146"/>
    <n v="1265"/>
    <n v="366"/>
    <n v="813"/>
    <n v="854"/>
    <n v="672"/>
    <n v="597"/>
    <n v="647"/>
    <n v="347"/>
    <n v="285"/>
    <n v="396"/>
    <n v="9943"/>
  </r>
  <r>
    <x v="148"/>
    <x v="16"/>
    <x v="148"/>
    <n v="1570"/>
    <x v="147"/>
    <n v="1454"/>
    <n v="774"/>
    <n v="1318"/>
    <n v="1185"/>
    <n v="1307"/>
    <n v="1991"/>
    <n v="1682"/>
    <n v="1524"/>
    <n v="1144"/>
    <n v="1534"/>
    <n v="17434"/>
  </r>
  <r>
    <x v="149"/>
    <x v="18"/>
    <x v="149"/>
    <n v="1566"/>
    <x v="148"/>
    <n v="1228"/>
    <n v="1206"/>
    <n v="2680"/>
    <n v="2814"/>
    <n v="2521"/>
    <n v="2241"/>
    <n v="2428"/>
    <n v="1509"/>
    <n v="1240"/>
    <n v="1725"/>
    <n v="23185"/>
  </r>
  <r>
    <x v="150"/>
    <x v="12"/>
    <x v="150"/>
    <n v="1565"/>
    <x v="149"/>
    <n v="1196"/>
    <n v="736"/>
    <n v="1512"/>
    <n v="1239"/>
    <n v="1538"/>
    <n v="1135"/>
    <n v="1348"/>
    <n v="1129"/>
    <n v="972"/>
    <n v="1559"/>
    <n v="15975"/>
  </r>
  <r>
    <x v="151"/>
    <x v="5"/>
    <x v="151"/>
    <n v="1540"/>
    <x v="150"/>
    <n v="1207"/>
    <n v="583"/>
    <n v="1295"/>
    <n v="1360"/>
    <n v="1674"/>
    <n v="1488"/>
    <n v="1612"/>
    <n v="1476"/>
    <n v="1212"/>
    <n v="1686"/>
    <n v="17126"/>
  </r>
  <r>
    <x v="152"/>
    <x v="20"/>
    <x v="152"/>
    <n v="1511"/>
    <x v="151"/>
    <n v="1283"/>
    <n v="1352"/>
    <n v="1202"/>
    <n v="1252"/>
    <n v="2047"/>
    <n v="1820"/>
    <n v="1972"/>
    <n v="1634"/>
    <n v="1342"/>
    <n v="1868"/>
    <n v="19135"/>
  </r>
  <r>
    <x v="153"/>
    <x v="3"/>
    <x v="153"/>
    <n v="1510"/>
    <x v="152"/>
    <n v="1020"/>
    <n v="627"/>
    <n v="1393"/>
    <n v="1463"/>
    <n v="1762"/>
    <n v="1813"/>
    <n v="1833"/>
    <n v="1857"/>
    <n v="1680"/>
    <n v="1913"/>
    <n v="18421"/>
  </r>
  <r>
    <x v="154"/>
    <x v="14"/>
    <x v="154"/>
    <n v="1504"/>
    <x v="153"/>
    <n v="984"/>
    <n v="632"/>
    <n v="1404"/>
    <n v="1475"/>
    <n v="1722"/>
    <n v="1521"/>
    <n v="1525"/>
    <n v="1527"/>
    <n v="1470"/>
    <n v="1848"/>
    <n v="16962"/>
  </r>
  <r>
    <x v="155"/>
    <x v="26"/>
    <x v="155"/>
    <n v="1486"/>
    <x v="154"/>
    <n v="1376"/>
    <n v="504"/>
    <n v="1120"/>
    <n v="1176"/>
    <n v="1052"/>
    <n v="935"/>
    <n v="1013"/>
    <n v="1349"/>
    <n v="1108"/>
    <n v="1542"/>
    <n v="13982"/>
  </r>
  <r>
    <x v="156"/>
    <x v="7"/>
    <x v="156"/>
    <n v="1456"/>
    <x v="155"/>
    <n v="1142"/>
    <n v="941"/>
    <n v="2090"/>
    <n v="2195"/>
    <n v="2270"/>
    <n v="2018"/>
    <n v="2186"/>
    <n v="3039"/>
    <n v="2496"/>
    <n v="3473"/>
    <n v="25191"/>
  </r>
  <r>
    <x v="157"/>
    <x v="6"/>
    <x v="157"/>
    <n v="1450"/>
    <x v="156"/>
    <n v="1000"/>
    <n v="648"/>
    <n v="1440"/>
    <n v="1512"/>
    <n v="2735"/>
    <n v="2431"/>
    <n v="2634"/>
    <n v="3711"/>
    <n v="3048"/>
    <n v="4241"/>
    <n v="26100"/>
  </r>
  <r>
    <x v="158"/>
    <x v="4"/>
    <x v="158"/>
    <n v="1433"/>
    <x v="157"/>
    <n v="857"/>
    <n v="511"/>
    <n v="1127"/>
    <n v="1423"/>
    <n v="1922"/>
    <n v="1886"/>
    <n v="1472"/>
    <n v="1375"/>
    <n v="1080"/>
    <n v="1233"/>
    <n v="15932"/>
  </r>
  <r>
    <x v="159"/>
    <x v="28"/>
    <x v="159"/>
    <n v="1418"/>
    <x v="158"/>
    <n v="1313"/>
    <n v="342"/>
    <n v="760"/>
    <n v="798"/>
    <n v="701"/>
    <n v="623"/>
    <n v="675"/>
    <n v="1012"/>
    <n v="831"/>
    <n v="1157"/>
    <n v="10891"/>
  </r>
  <r>
    <x v="160"/>
    <x v="1"/>
    <x v="160"/>
    <n v="1410"/>
    <x v="159"/>
    <n v="1106"/>
    <n v="380"/>
    <n v="844"/>
    <n v="887"/>
    <n v="1524"/>
    <n v="1355"/>
    <n v="1468"/>
    <n v="745"/>
    <n v="612"/>
    <n v="851"/>
    <n v="13007"/>
  </r>
  <r>
    <x v="161"/>
    <x v="9"/>
    <x v="161"/>
    <n v="1399"/>
    <x v="160"/>
    <n v="1354"/>
    <n v="1368"/>
    <n v="2255"/>
    <n v="2170"/>
    <n v="1845"/>
    <n v="1218"/>
    <n v="2040"/>
    <n v="2060"/>
    <n v="1714"/>
    <n v="1968"/>
    <n v="21178"/>
  </r>
  <r>
    <x v="162"/>
    <x v="26"/>
    <x v="162"/>
    <n v="1389"/>
    <x v="161"/>
    <n v="1287"/>
    <n v="378"/>
    <n v="840"/>
    <n v="882"/>
    <n v="666"/>
    <n v="592"/>
    <n v="642"/>
    <n v="877"/>
    <n v="720"/>
    <n v="1002"/>
    <n v="10510"/>
  </r>
  <r>
    <x v="163"/>
    <x v="7"/>
    <x v="163"/>
    <n v="1358"/>
    <x v="162"/>
    <n v="1065"/>
    <n v="537"/>
    <n v="1194"/>
    <n v="1253"/>
    <n v="1698"/>
    <n v="1510"/>
    <n v="1635"/>
    <n v="1045"/>
    <n v="859"/>
    <n v="1195"/>
    <n v="15108"/>
  </r>
  <r>
    <x v="164"/>
    <x v="23"/>
    <x v="164"/>
    <n v="1354"/>
    <x v="163"/>
    <n v="1062"/>
    <n v="882"/>
    <n v="1960"/>
    <n v="2058"/>
    <n v="1929"/>
    <n v="1714"/>
    <n v="1857"/>
    <n v="2131"/>
    <n v="1750"/>
    <n v="2435"/>
    <n v="20885"/>
  </r>
  <r>
    <x v="165"/>
    <x v="19"/>
    <x v="165"/>
    <n v="1342"/>
    <x v="164"/>
    <n v="1053"/>
    <n v="415"/>
    <n v="923"/>
    <n v="969"/>
    <n v="1275"/>
    <n v="1129"/>
    <n v="1202"/>
    <n v="1458"/>
    <n v="1198"/>
    <n v="1666"/>
    <n v="14368"/>
  </r>
  <r>
    <x v="166"/>
    <x v="25"/>
    <x v="166"/>
    <n v="1303"/>
    <x v="165"/>
    <n v="1052"/>
    <n v="930"/>
    <n v="2305"/>
    <n v="2315"/>
    <n v="2216"/>
    <n v="1933"/>
    <n v="1911"/>
    <n v="2504"/>
    <n v="2344"/>
    <n v="3350"/>
    <n v="23778"/>
  </r>
  <r>
    <x v="167"/>
    <x v="26"/>
    <x v="167"/>
    <n v="1285"/>
    <x v="166"/>
    <n v="1190"/>
    <n v="450"/>
    <n v="1000"/>
    <n v="1050"/>
    <n v="947"/>
    <n v="842"/>
    <n v="912"/>
    <n v="1349"/>
    <n v="1108"/>
    <n v="1542"/>
    <n v="12817"/>
  </r>
  <r>
    <x v="168"/>
    <x v="22"/>
    <x v="168"/>
    <n v="1283"/>
    <x v="167"/>
    <n v="1006"/>
    <n v="795"/>
    <n v="1766"/>
    <n v="1854"/>
    <n v="2089"/>
    <n v="1857"/>
    <n v="2012"/>
    <n v="1356"/>
    <n v="1114"/>
    <n v="1549"/>
    <n v="18342"/>
  </r>
  <r>
    <x v="169"/>
    <x v="12"/>
    <x v="169"/>
    <n v="1278"/>
    <x v="168"/>
    <n v="763"/>
    <n v="422"/>
    <n v="626"/>
    <n v="868"/>
    <n v="1826"/>
    <n v="879"/>
    <n v="1096"/>
    <n v="1202"/>
    <n v="1090"/>
    <n v="2039"/>
    <n v="13570"/>
  </r>
  <r>
    <x v="170"/>
    <x v="27"/>
    <x v="170"/>
    <n v="1243"/>
    <x v="169"/>
    <n v="974"/>
    <n v="495"/>
    <n v="1100"/>
    <n v="1155"/>
    <n v="1275"/>
    <n v="1133"/>
    <n v="1227"/>
    <n v="1386"/>
    <n v="1362"/>
    <n v="2294"/>
    <n v="15253"/>
  </r>
  <r>
    <x v="171"/>
    <x v="29"/>
    <x v="171"/>
    <n v="1241"/>
    <x v="170"/>
    <n v="973"/>
    <n v="688"/>
    <n v="1529"/>
    <n v="1605"/>
    <n v="1581"/>
    <n v="1405"/>
    <n v="1523"/>
    <n v="2004"/>
    <n v="1646"/>
    <n v="2290"/>
    <n v="18092"/>
  </r>
  <r>
    <x v="172"/>
    <x v="1"/>
    <x v="172"/>
    <n v="1241"/>
    <x v="171"/>
    <n v="973"/>
    <n v="443"/>
    <n v="984"/>
    <n v="1033"/>
    <n v="2228"/>
    <n v="1981"/>
    <n v="2146"/>
    <n v="3033"/>
    <n v="2492"/>
    <n v="3467"/>
    <n v="21627"/>
  </r>
  <r>
    <x v="173"/>
    <x v="29"/>
    <x v="173"/>
    <n v="1227"/>
    <x v="172"/>
    <n v="962"/>
    <n v="714"/>
    <n v="1586"/>
    <n v="1665"/>
    <n v="1917"/>
    <n v="1704"/>
    <n v="1846"/>
    <n v="1830"/>
    <n v="1503"/>
    <n v="2091"/>
    <n v="18633"/>
  </r>
  <r>
    <x v="174"/>
    <x v="5"/>
    <x v="174"/>
    <n v="1211"/>
    <x v="173"/>
    <n v="950"/>
    <n v="520"/>
    <n v="1155"/>
    <n v="1213"/>
    <n v="1318"/>
    <n v="1172"/>
    <n v="1270"/>
    <n v="1643"/>
    <n v="1350"/>
    <n v="1878"/>
    <n v="15248"/>
  </r>
  <r>
    <x v="175"/>
    <x v="18"/>
    <x v="175"/>
    <n v="1201"/>
    <x v="174"/>
    <n v="942"/>
    <n v="739"/>
    <n v="1642"/>
    <n v="1724"/>
    <n v="1378"/>
    <n v="1225"/>
    <n v="1327"/>
    <n v="1214"/>
    <n v="998"/>
    <n v="1388"/>
    <n v="15333"/>
  </r>
  <r>
    <x v="176"/>
    <x v="30"/>
    <x v="176"/>
    <n v="1157"/>
    <x v="175"/>
    <n v="907"/>
    <n v="656"/>
    <n v="1457"/>
    <n v="1530"/>
    <n v="2119"/>
    <n v="1877"/>
    <n v="1998"/>
    <n v="1850"/>
    <n v="1520"/>
    <n v="2115"/>
    <n v="18684"/>
  </r>
  <r>
    <x v="177"/>
    <x v="10"/>
    <x v="177"/>
    <n v="1146"/>
    <x v="176"/>
    <n v="459"/>
    <n v="363"/>
    <n v="842"/>
    <n v="1000"/>
    <n v="959"/>
    <n v="860"/>
    <n v="436"/>
    <n v="473"/>
    <n v="413"/>
    <n v="437"/>
    <n v="8335"/>
  </r>
  <r>
    <x v="178"/>
    <x v="27"/>
    <x v="178"/>
    <n v="1131"/>
    <x v="177"/>
    <n v="887"/>
    <n v="537"/>
    <n v="1194"/>
    <n v="1254"/>
    <n v="1285"/>
    <n v="1143"/>
    <n v="1238"/>
    <n v="791"/>
    <n v="583"/>
    <n v="1011"/>
    <n v="12518"/>
  </r>
  <r>
    <x v="179"/>
    <x v="18"/>
    <x v="179"/>
    <n v="1065"/>
    <x v="178"/>
    <n v="835"/>
    <n v="1175"/>
    <n v="1172"/>
    <n v="1231"/>
    <n v="789"/>
    <n v="701"/>
    <n v="760"/>
    <n v="856"/>
    <n v="703"/>
    <n v="978"/>
    <n v="11644"/>
  </r>
  <r>
    <x v="180"/>
    <x v="25"/>
    <x v="180"/>
    <n v="1021"/>
    <x v="179"/>
    <n v="1099"/>
    <n v="506"/>
    <n v="1241"/>
    <n v="1486"/>
    <n v="1546"/>
    <n v="1790"/>
    <n v="2341"/>
    <n v="1213"/>
    <n v="1736"/>
    <n v="1464"/>
    <n v="16828"/>
  </r>
  <r>
    <x v="181"/>
    <x v="16"/>
    <x v="181"/>
    <n v="1012"/>
    <x v="180"/>
    <n v="1180"/>
    <n v="705"/>
    <n v="1482"/>
    <n v="1219"/>
    <n v="1036"/>
    <n v="1036"/>
    <n v="1045"/>
    <n v="1029"/>
    <n v="797"/>
    <n v="1233"/>
    <n v="13190"/>
  </r>
  <r>
    <x v="182"/>
    <x v="12"/>
    <x v="182"/>
    <n v="989"/>
    <x v="181"/>
    <n v="951"/>
    <n v="817"/>
    <n v="1650"/>
    <n v="0"/>
    <n v="1620"/>
    <n v="1644"/>
    <n v="1529"/>
    <n v="1557"/>
    <n v="2965"/>
    <n v="2639"/>
    <n v="17587"/>
  </r>
  <r>
    <x v="183"/>
    <x v="24"/>
    <x v="183"/>
    <n v="974"/>
    <x v="182"/>
    <n v="764"/>
    <n v="464"/>
    <n v="1030"/>
    <n v="1082"/>
    <n v="1403"/>
    <n v="1247"/>
    <n v="1351"/>
    <n v="1732"/>
    <n v="1423"/>
    <n v="1980"/>
    <n v="14712"/>
  </r>
  <r>
    <x v="184"/>
    <x v="21"/>
    <x v="184"/>
    <n v="935"/>
    <x v="183"/>
    <n v="723"/>
    <n v="506"/>
    <n v="1039"/>
    <n v="1109"/>
    <n v="1230"/>
    <n v="1331"/>
    <n v="1377"/>
    <n v="1523"/>
    <n v="1141"/>
    <n v="1417"/>
    <n v="13414"/>
  </r>
  <r>
    <x v="185"/>
    <x v="0"/>
    <x v="185"/>
    <n v="884"/>
    <x v="184"/>
    <n v="694"/>
    <n v="78"/>
    <n v="174"/>
    <n v="182"/>
    <n v="47"/>
    <n v="42"/>
    <n v="46"/>
    <n v="11"/>
    <n v="51"/>
    <n v="0"/>
    <n v="3354"/>
  </r>
  <r>
    <x v="186"/>
    <x v="26"/>
    <x v="186"/>
    <n v="874"/>
    <x v="185"/>
    <n v="809"/>
    <n v="252"/>
    <n v="560"/>
    <n v="588"/>
    <n v="701"/>
    <n v="623"/>
    <n v="675"/>
    <n v="641"/>
    <n v="527"/>
    <n v="733"/>
    <n v="7760"/>
  </r>
  <r>
    <x v="187"/>
    <x v="3"/>
    <x v="187"/>
    <n v="860"/>
    <x v="186"/>
    <n v="591"/>
    <n v="236"/>
    <n v="525"/>
    <n v="551"/>
    <n v="509"/>
    <n v="726"/>
    <n v="691"/>
    <n v="442"/>
    <n v="199"/>
    <n v="141"/>
    <n v="6436"/>
  </r>
  <r>
    <x v="188"/>
    <x v="29"/>
    <x v="188"/>
    <n v="841"/>
    <x v="187"/>
    <n v="660"/>
    <n v="404"/>
    <n v="898"/>
    <n v="943"/>
    <n v="549"/>
    <n v="488"/>
    <n v="529"/>
    <n v="822"/>
    <n v="676"/>
    <n v="940"/>
    <n v="8839"/>
  </r>
  <r>
    <x v="189"/>
    <x v="26"/>
    <x v="189"/>
    <n v="821"/>
    <x v="188"/>
    <n v="760"/>
    <n v="234"/>
    <n v="520"/>
    <n v="546"/>
    <n v="421"/>
    <n v="374"/>
    <n v="405"/>
    <n v="337"/>
    <n v="277"/>
    <n v="386"/>
    <n v="5811"/>
  </r>
  <r>
    <x v="190"/>
    <x v="22"/>
    <x v="190"/>
    <n v="809"/>
    <x v="189"/>
    <n v="635"/>
    <n v="374"/>
    <n v="830"/>
    <n v="872"/>
    <n v="1216"/>
    <n v="1081"/>
    <n v="1171"/>
    <n v="843"/>
    <n v="693"/>
    <n v="964"/>
    <n v="10536"/>
  </r>
  <r>
    <x v="191"/>
    <x v="0"/>
    <x v="191"/>
    <n v="801"/>
    <x v="190"/>
    <n v="628"/>
    <n v="303"/>
    <n v="674"/>
    <n v="708"/>
    <n v="189"/>
    <n v="168"/>
    <n v="182"/>
    <n v="41"/>
    <n v="118"/>
    <n v="0"/>
    <n v="4849"/>
  </r>
  <r>
    <x v="192"/>
    <x v="22"/>
    <x v="192"/>
    <n v="791"/>
    <x v="191"/>
    <n v="620"/>
    <n v="357"/>
    <n v="794"/>
    <n v="834"/>
    <n v="1142"/>
    <n v="1015"/>
    <n v="1100"/>
    <n v="1483"/>
    <n v="1218"/>
    <n v="1694"/>
    <n v="12072"/>
  </r>
  <r>
    <x v="193"/>
    <x v="18"/>
    <x v="193"/>
    <n v="768"/>
    <x v="192"/>
    <n v="603"/>
    <n v="327"/>
    <n v="727"/>
    <n v="763"/>
    <n v="858"/>
    <n v="763"/>
    <n v="826"/>
    <n v="661"/>
    <n v="543"/>
    <n v="755"/>
    <n v="8589"/>
  </r>
  <r>
    <x v="194"/>
    <x v="16"/>
    <x v="194"/>
    <n v="743"/>
    <x v="193"/>
    <n v="754"/>
    <n v="871"/>
    <n v="1393"/>
    <n v="1527"/>
    <n v="1427"/>
    <n v="1101"/>
    <n v="913"/>
    <n v="1013"/>
    <n v="847"/>
    <n v="904"/>
    <n v="12556"/>
  </r>
  <r>
    <x v="195"/>
    <x v="19"/>
    <x v="195"/>
    <n v="742"/>
    <x v="194"/>
    <n v="582"/>
    <n v="318"/>
    <n v="707"/>
    <n v="743"/>
    <n v="613"/>
    <n v="543"/>
    <n v="578"/>
    <n v="533"/>
    <n v="438"/>
    <n v="610"/>
    <n v="7368"/>
  </r>
  <r>
    <x v="196"/>
    <x v="14"/>
    <x v="196"/>
    <n v="741"/>
    <x v="195"/>
    <n v="913"/>
    <n v="428"/>
    <n v="952"/>
    <n v="1000"/>
    <n v="886"/>
    <n v="1212"/>
    <n v="1531"/>
    <n v="1362"/>
    <n v="1228"/>
    <n v="2289"/>
    <n v="13600"/>
  </r>
  <r>
    <x v="197"/>
    <x v="18"/>
    <x v="197"/>
    <n v="732"/>
    <x v="196"/>
    <n v="574"/>
    <n v="630"/>
    <n v="1400"/>
    <n v="1470"/>
    <n v="1753"/>
    <n v="1558"/>
    <n v="1688"/>
    <n v="756"/>
    <n v="621"/>
    <n v="864"/>
    <n v="12994"/>
  </r>
  <r>
    <x v="198"/>
    <x v="22"/>
    <x v="198"/>
    <n v="727"/>
    <x v="197"/>
    <n v="570"/>
    <n v="342"/>
    <n v="761"/>
    <n v="799"/>
    <n v="896"/>
    <n v="796"/>
    <n v="863"/>
    <n v="1094"/>
    <n v="899"/>
    <n v="1250"/>
    <n v="9938"/>
  </r>
  <r>
    <x v="199"/>
    <x v="31"/>
    <x v="199"/>
    <n v="716"/>
    <x v="198"/>
    <n v="517"/>
    <n v="551"/>
    <n v="870"/>
    <n v="897"/>
    <n v="883"/>
    <n v="950"/>
    <n v="899"/>
    <n v="826"/>
    <n v="683"/>
    <n v="803"/>
    <n v="9436"/>
  </r>
  <r>
    <x v="200"/>
    <x v="19"/>
    <x v="200"/>
    <n v="714"/>
    <x v="199"/>
    <n v="560"/>
    <n v="317"/>
    <n v="704"/>
    <n v="739"/>
    <n v="587"/>
    <n v="520"/>
    <n v="3430"/>
    <n v="1303"/>
    <n v="1070"/>
    <n v="1489"/>
    <n v="12357"/>
  </r>
  <r>
    <x v="201"/>
    <x v="2"/>
    <x v="201"/>
    <n v="681"/>
    <x v="200"/>
    <n v="534"/>
    <n v="418"/>
    <n v="929"/>
    <n v="975"/>
    <n v="1059"/>
    <n v="941"/>
    <n v="1020"/>
    <n v="1002"/>
    <n v="823"/>
    <n v="1145"/>
    <n v="10408"/>
  </r>
  <r>
    <x v="202"/>
    <x v="12"/>
    <x v="202"/>
    <n v="665"/>
    <x v="201"/>
    <n v="575"/>
    <n v="541"/>
    <n v="858"/>
    <n v="0"/>
    <n v="861"/>
    <n v="836"/>
    <n v="601"/>
    <n v="443"/>
    <n v="296"/>
    <n v="267"/>
    <n v="6785"/>
  </r>
  <r>
    <x v="203"/>
    <x v="5"/>
    <x v="203"/>
    <n v="636"/>
    <x v="202"/>
    <n v="499"/>
    <n v="189"/>
    <n v="420"/>
    <n v="441"/>
    <n v="672"/>
    <n v="597"/>
    <n v="647"/>
    <n v="1566"/>
    <n v="1280"/>
    <n v="1789"/>
    <n v="9559"/>
  </r>
  <r>
    <x v="204"/>
    <x v="32"/>
    <x v="204"/>
    <n v="621"/>
    <x v="203"/>
    <n v="487"/>
    <n v="360"/>
    <n v="801"/>
    <n v="841"/>
    <n v="997"/>
    <n v="886"/>
    <n v="960"/>
    <n v="1189"/>
    <n v="977"/>
    <n v="1359"/>
    <n v="10282"/>
  </r>
  <r>
    <x v="205"/>
    <x v="19"/>
    <x v="205"/>
    <n v="581"/>
    <x v="204"/>
    <n v="455"/>
    <n v="247"/>
    <n v="549"/>
    <n v="577"/>
    <n v="567"/>
    <n v="502"/>
    <n v="535"/>
    <n v="977"/>
    <n v="803"/>
    <n v="1117"/>
    <n v="7662"/>
  </r>
  <r>
    <x v="206"/>
    <x v="19"/>
    <x v="206"/>
    <n v="576"/>
    <x v="205"/>
    <n v="451"/>
    <n v="685"/>
    <n v="1522"/>
    <n v="1598"/>
    <n v="1467"/>
    <n v="1299"/>
    <n v="16"/>
    <n v="1636"/>
    <n v="1344"/>
    <n v="1870"/>
    <n v="13209"/>
  </r>
  <r>
    <x v="207"/>
    <x v="32"/>
    <x v="207"/>
    <n v="571"/>
    <x v="206"/>
    <n v="448"/>
    <n v="305"/>
    <n v="677"/>
    <n v="711"/>
    <n v="769"/>
    <n v="683"/>
    <n v="740"/>
    <n v="864"/>
    <n v="709"/>
    <n v="987"/>
    <n v="8204"/>
  </r>
  <r>
    <x v="208"/>
    <x v="24"/>
    <x v="208"/>
    <n v="560"/>
    <x v="207"/>
    <n v="439"/>
    <n v="149"/>
    <n v="330"/>
    <n v="347"/>
    <n v="148"/>
    <n v="132"/>
    <n v="142"/>
    <n v="49"/>
    <n v="40"/>
    <n v="56"/>
    <n v="3117"/>
  </r>
  <r>
    <x v="209"/>
    <x v="22"/>
    <x v="209"/>
    <n v="556"/>
    <x v="208"/>
    <n v="436"/>
    <n v="209"/>
    <n v="464"/>
    <n v="488"/>
    <n v="805"/>
    <n v="716"/>
    <n v="775"/>
    <n v="686"/>
    <n v="564"/>
    <n v="784"/>
    <n v="7202"/>
  </r>
  <r>
    <x v="210"/>
    <x v="19"/>
    <x v="210"/>
    <n v="550"/>
    <x v="209"/>
    <n v="431"/>
    <n v="314"/>
    <n v="699"/>
    <n v="734"/>
    <n v="742"/>
    <n v="657"/>
    <n v="699"/>
    <n v="734"/>
    <n v="603"/>
    <n v="839"/>
    <n v="7714"/>
  </r>
  <r>
    <x v="211"/>
    <x v="19"/>
    <x v="211"/>
    <n v="547"/>
    <x v="210"/>
    <n v="429"/>
    <n v="209"/>
    <n v="465"/>
    <n v="488"/>
    <n v="479"/>
    <n v="424"/>
    <n v="9"/>
    <n v="751"/>
    <n v="617"/>
    <n v="858"/>
    <n v="5985"/>
  </r>
  <r>
    <x v="212"/>
    <x v="30"/>
    <x v="212"/>
    <n v="544"/>
    <x v="211"/>
    <n v="426"/>
    <n v="296"/>
    <n v="658"/>
    <n v="691"/>
    <n v="1054"/>
    <n v="933"/>
    <n v="993"/>
    <n v="1034"/>
    <n v="849"/>
    <n v="1181"/>
    <n v="9363"/>
  </r>
  <r>
    <x v="213"/>
    <x v="18"/>
    <x v="213"/>
    <n v="529"/>
    <x v="212"/>
    <n v="415"/>
    <n v="313"/>
    <n v="696"/>
    <n v="731"/>
    <n v="630"/>
    <n v="560"/>
    <n v="606"/>
    <n v="863"/>
    <n v="709"/>
    <n v="986"/>
    <n v="7723"/>
  </r>
  <r>
    <x v="214"/>
    <x v="15"/>
    <x v="214"/>
    <n v="523"/>
    <x v="213"/>
    <n v="410"/>
    <n v="506"/>
    <n v="1124"/>
    <n v="1181"/>
    <n v="0"/>
    <n v="0"/>
    <n v="0"/>
    <n v="0"/>
    <n v="0"/>
    <n v="0"/>
    <n v="4421"/>
  </r>
  <r>
    <x v="215"/>
    <x v="27"/>
    <x v="215"/>
    <n v="508"/>
    <x v="214"/>
    <n v="398"/>
    <n v="182"/>
    <n v="405"/>
    <n v="425"/>
    <n v="455"/>
    <n v="404"/>
    <n v="438"/>
    <n v="501"/>
    <n v="378"/>
    <n v="505"/>
    <n v="5256"/>
  </r>
  <r>
    <x v="216"/>
    <x v="3"/>
    <x v="216"/>
    <n v="505"/>
    <x v="215"/>
    <n v="332"/>
    <n v="202"/>
    <n v="448"/>
    <n v="470"/>
    <n v="666"/>
    <n v="769"/>
    <n v="770"/>
    <n v="831"/>
    <n v="752"/>
    <n v="1048"/>
    <n v="7364"/>
  </r>
  <r>
    <x v="217"/>
    <x v="4"/>
    <x v="217"/>
    <n v="475"/>
    <x v="216"/>
    <n v="221"/>
    <n v="90"/>
    <n v="248"/>
    <n v="187"/>
    <n v="213"/>
    <n v="251"/>
    <n v="354"/>
    <n v="719"/>
    <n v="347"/>
    <n v="0"/>
    <n v="3664"/>
  </r>
  <r>
    <x v="218"/>
    <x v="31"/>
    <x v="218"/>
    <n v="456"/>
    <x v="217"/>
    <n v="284"/>
    <n v="161"/>
    <n v="319"/>
    <n v="324"/>
    <n v="242"/>
    <n v="226"/>
    <n v="133"/>
    <n v="89"/>
    <n v="55"/>
    <n v="613"/>
    <n v="3359"/>
  </r>
  <r>
    <x v="219"/>
    <x v="28"/>
    <x v="219"/>
    <n v="443"/>
    <x v="218"/>
    <n v="410"/>
    <n v="117"/>
    <n v="260"/>
    <n v="273"/>
    <n v="316"/>
    <n v="281"/>
    <n v="304"/>
    <n v="304"/>
    <n v="248"/>
    <n v="347"/>
    <n v="3696"/>
  </r>
  <r>
    <x v="220"/>
    <x v="19"/>
    <x v="220"/>
    <n v="406"/>
    <x v="219"/>
    <n v="319"/>
    <n v="216"/>
    <n v="480"/>
    <n v="504"/>
    <n v="698"/>
    <n v="618"/>
    <n v="658"/>
    <n v="967"/>
    <n v="794"/>
    <n v="1105"/>
    <n v="7291"/>
  </r>
  <r>
    <x v="221"/>
    <x v="10"/>
    <x v="221"/>
    <n v="396"/>
    <x v="220"/>
    <n v="497"/>
    <n v="552"/>
    <n v="1102"/>
    <n v="966"/>
    <n v="696"/>
    <n v="774"/>
    <n v="862"/>
    <n v="851"/>
    <n v="610"/>
    <n v="694"/>
    <n v="8807"/>
  </r>
  <r>
    <x v="222"/>
    <x v="17"/>
    <x v="222"/>
    <n v="390"/>
    <x v="221"/>
    <n v="306"/>
    <n v="148"/>
    <n v="329"/>
    <n v="345"/>
    <n v="141"/>
    <n v="135"/>
    <n v="135"/>
    <n v="20"/>
    <n v="16"/>
    <n v="23"/>
    <n v="2493"/>
  </r>
  <r>
    <x v="223"/>
    <x v="29"/>
    <x v="223"/>
    <n v="385"/>
    <x v="222"/>
    <n v="302"/>
    <n v="157"/>
    <n v="348"/>
    <n v="366"/>
    <n v="373"/>
    <n v="332"/>
    <n v="359"/>
    <n v="253"/>
    <n v="208"/>
    <n v="290"/>
    <n v="3871"/>
  </r>
  <r>
    <x v="224"/>
    <x v="14"/>
    <x v="224"/>
    <n v="378"/>
    <x v="223"/>
    <n v="162"/>
    <n v="145"/>
    <n v="250"/>
    <n v="263"/>
    <n v="255"/>
    <n v="299"/>
    <n v="303"/>
    <n v="471"/>
    <n v="339"/>
    <n v="524"/>
    <n v="3650"/>
  </r>
  <r>
    <x v="225"/>
    <x v="3"/>
    <x v="225"/>
    <n v="342"/>
    <x v="224"/>
    <n v="273"/>
    <n v="231"/>
    <n v="512"/>
    <n v="538"/>
    <n v="515"/>
    <n v="500"/>
    <n v="489"/>
    <n v="677"/>
    <n v="708"/>
    <n v="704"/>
    <n v="5887"/>
  </r>
  <r>
    <x v="226"/>
    <x v="14"/>
    <x v="226"/>
    <n v="340"/>
    <x v="225"/>
    <n v="215"/>
    <n v="174"/>
    <n v="387"/>
    <n v="407"/>
    <n v="317"/>
    <n v="422"/>
    <n v="323"/>
    <n v="408"/>
    <n v="407"/>
    <n v="821"/>
    <n v="4512"/>
  </r>
  <r>
    <x v="227"/>
    <x v="18"/>
    <x v="227"/>
    <n v="314"/>
    <x v="226"/>
    <n v="246"/>
    <n v="153"/>
    <n v="153"/>
    <n v="356"/>
    <n v="263"/>
    <n v="234"/>
    <n v="253"/>
    <n v="312"/>
    <n v="256"/>
    <n v="356"/>
    <n v="3303"/>
  </r>
  <r>
    <x v="228"/>
    <x v="23"/>
    <x v="228"/>
    <n v="301"/>
    <x v="227"/>
    <n v="236"/>
    <n v="139"/>
    <n v="308"/>
    <n v="323"/>
    <n v="207"/>
    <n v="184"/>
    <n v="199"/>
    <n v="171"/>
    <n v="140"/>
    <n v="195"/>
    <n v="2793"/>
  </r>
  <r>
    <x v="229"/>
    <x v="14"/>
    <x v="229"/>
    <n v="289"/>
    <x v="228"/>
    <n v="169"/>
    <n v="140"/>
    <n v="312"/>
    <n v="328"/>
    <n v="341"/>
    <n v="372"/>
    <n v="389"/>
    <n v="406"/>
    <n v="347"/>
    <n v="416"/>
    <n v="3808"/>
  </r>
  <r>
    <x v="230"/>
    <x v="15"/>
    <x v="230"/>
    <n v="256"/>
    <x v="229"/>
    <n v="597"/>
    <n v="143"/>
    <n v="319"/>
    <n v="335"/>
    <n v="370"/>
    <n v="329"/>
    <n v="357"/>
    <n v="324"/>
    <n v="266"/>
    <n v="371"/>
    <n v="3998"/>
  </r>
  <r>
    <x v="231"/>
    <x v="14"/>
    <x v="231"/>
    <n v="227"/>
    <x v="230"/>
    <n v="173"/>
    <n v="122"/>
    <n v="272"/>
    <n v="285"/>
    <n v="269"/>
    <n v="330"/>
    <n v="262"/>
    <n v="200"/>
    <n v="111"/>
    <n v="85"/>
    <n v="2560"/>
  </r>
  <r>
    <x v="232"/>
    <x v="31"/>
    <x v="232"/>
    <n v="227"/>
    <x v="231"/>
    <n v="168"/>
    <n v="94"/>
    <n v="161"/>
    <n v="208"/>
    <n v="132"/>
    <n v="184"/>
    <n v="96"/>
    <n v="139"/>
    <n v="139"/>
    <n v="235"/>
    <n v="2072"/>
  </r>
  <r>
    <x v="233"/>
    <x v="3"/>
    <x v="233"/>
    <n v="222"/>
    <x v="232"/>
    <n v="202"/>
    <n v="116"/>
    <n v="258"/>
    <n v="271"/>
    <n v="231"/>
    <n v="236"/>
    <n v="152"/>
    <n v="172"/>
    <n v="131"/>
    <n v="205"/>
    <n v="2476"/>
  </r>
  <r>
    <x v="234"/>
    <x v="3"/>
    <x v="234"/>
    <n v="215"/>
    <x v="233"/>
    <n v="173"/>
    <n v="114"/>
    <n v="254"/>
    <n v="267"/>
    <n v="209"/>
    <n v="161"/>
    <n v="141"/>
    <n v="412"/>
    <n v="368"/>
    <n v="606"/>
    <n v="3146"/>
  </r>
  <r>
    <x v="235"/>
    <x v="22"/>
    <x v="235"/>
    <n v="211"/>
    <x v="234"/>
    <n v="165"/>
    <n v="107"/>
    <n v="238"/>
    <n v="250"/>
    <n v="263"/>
    <n v="233"/>
    <n v="253"/>
    <n v="292"/>
    <n v="240"/>
    <n v="334"/>
    <n v="2859"/>
  </r>
  <r>
    <x v="236"/>
    <x v="19"/>
    <x v="236"/>
    <n v="203"/>
    <x v="235"/>
    <n v="159"/>
    <n v="149"/>
    <n v="332"/>
    <n v="349"/>
    <n v="252"/>
    <n v="223"/>
    <n v="238"/>
    <n v="66"/>
    <n v="54"/>
    <n v="76"/>
    <n v="2364"/>
  </r>
  <r>
    <x v="237"/>
    <x v="16"/>
    <x v="237"/>
    <n v="197"/>
    <x v="236"/>
    <n v="96"/>
    <n v="50"/>
    <n v="70"/>
    <n v="65"/>
    <n v="100"/>
    <n v="53"/>
    <n v="99"/>
    <n v="115"/>
    <n v="99"/>
    <n v="129"/>
    <n v="1265"/>
  </r>
  <r>
    <x v="238"/>
    <x v="28"/>
    <x v="238"/>
    <n v="187"/>
    <x v="237"/>
    <n v="173"/>
    <n v="65"/>
    <n v="144"/>
    <n v="151"/>
    <n v="140"/>
    <n v="125"/>
    <n v="135"/>
    <n v="135"/>
    <n v="111"/>
    <n v="154"/>
    <n v="1686"/>
  </r>
  <r>
    <x v="239"/>
    <x v="5"/>
    <x v="239"/>
    <n v="182"/>
    <x v="238"/>
    <n v="143"/>
    <n v="135"/>
    <n v="300"/>
    <n v="315"/>
    <n v="178"/>
    <n v="159"/>
    <n v="172"/>
    <n v="46"/>
    <n v="37"/>
    <n v="52"/>
    <n v="1955"/>
  </r>
  <r>
    <x v="240"/>
    <x v="28"/>
    <x v="240"/>
    <n v="181"/>
    <x v="239"/>
    <n v="168"/>
    <n v="52"/>
    <n v="116"/>
    <n v="122"/>
    <n v="140"/>
    <n v="125"/>
    <n v="135"/>
    <n v="169"/>
    <n v="139"/>
    <n v="193"/>
    <n v="1701"/>
  </r>
  <r>
    <x v="241"/>
    <x v="22"/>
    <x v="241"/>
    <n v="180"/>
    <x v="240"/>
    <n v="141"/>
    <n v="83"/>
    <n v="185"/>
    <n v="194"/>
    <n v="230"/>
    <n v="204"/>
    <n v="222"/>
    <n v="237"/>
    <n v="195"/>
    <n v="271"/>
    <n v="2375"/>
  </r>
  <r>
    <x v="242"/>
    <x v="28"/>
    <x v="242"/>
    <n v="158"/>
    <x v="241"/>
    <n v="147"/>
    <n v="108"/>
    <n v="240"/>
    <n v="252"/>
    <n v="175"/>
    <n v="156"/>
    <n v="169"/>
    <n v="135"/>
    <n v="111"/>
    <n v="154"/>
    <n v="1946"/>
  </r>
  <r>
    <x v="243"/>
    <x v="24"/>
    <x v="243"/>
    <n v="154"/>
    <x v="242"/>
    <n v="120"/>
    <n v="48"/>
    <n v="106"/>
    <n v="111"/>
    <n v="85"/>
    <n v="75"/>
    <n v="82"/>
    <n v="74"/>
    <n v="61"/>
    <n v="85"/>
    <n v="1200"/>
  </r>
  <r>
    <x v="244"/>
    <x v="18"/>
    <x v="244"/>
    <n v="136"/>
    <x v="243"/>
    <n v="107"/>
    <n v="90"/>
    <n v="200"/>
    <n v="210"/>
    <n v="255"/>
    <n v="227"/>
    <n v="246"/>
    <n v="160"/>
    <n v="131"/>
    <n v="183"/>
    <n v="2121"/>
  </r>
  <r>
    <x v="245"/>
    <x v="1"/>
    <x v="245"/>
    <n v="132"/>
    <x v="244"/>
    <n v="103"/>
    <n v="50"/>
    <n v="111"/>
    <n v="116"/>
    <n v="25"/>
    <n v="22"/>
    <n v="24"/>
    <n v="10"/>
    <n v="8"/>
    <n v="12"/>
    <n v="783"/>
  </r>
  <r>
    <x v="246"/>
    <x v="29"/>
    <x v="246"/>
    <n v="130"/>
    <x v="245"/>
    <n v="102"/>
    <n v="85"/>
    <n v="189"/>
    <n v="198"/>
    <n v="380"/>
    <n v="338"/>
    <n v="366"/>
    <n v="503"/>
    <n v="413"/>
    <n v="575"/>
    <n v="3447"/>
  </r>
  <r>
    <x v="247"/>
    <x v="18"/>
    <x v="247"/>
    <n v="130"/>
    <x v="246"/>
    <n v="102"/>
    <n v="71"/>
    <n v="158"/>
    <n v="165"/>
    <n v="195"/>
    <n v="173"/>
    <n v="187"/>
    <n v="146"/>
    <n v="120"/>
    <n v="167"/>
    <n v="1783"/>
  </r>
  <r>
    <x v="248"/>
    <x v="28"/>
    <x v="248"/>
    <n v="127"/>
    <x v="247"/>
    <n v="117"/>
    <n v="65"/>
    <n v="144"/>
    <n v="151"/>
    <n v="105"/>
    <n v="94"/>
    <n v="101"/>
    <n v="34"/>
    <n v="28"/>
    <n v="39"/>
    <n v="1118"/>
  </r>
  <r>
    <x v="249"/>
    <x v="33"/>
    <x v="249"/>
    <n v="126"/>
    <x v="248"/>
    <n v="99"/>
    <n v="105"/>
    <n v="232"/>
    <n v="244"/>
    <n v="146"/>
    <n v="130"/>
    <n v="140"/>
    <n v="110"/>
    <n v="90"/>
    <n v="126"/>
    <n v="1711"/>
  </r>
  <r>
    <x v="250"/>
    <x v="9"/>
    <x v="250"/>
    <n v="112"/>
    <x v="237"/>
    <n v="114"/>
    <n v="105"/>
    <n v="227"/>
    <n v="238"/>
    <n v="266"/>
    <n v="267"/>
    <n v="251"/>
    <n v="221"/>
    <n v="129"/>
    <n v="171"/>
    <n v="2267"/>
  </r>
  <r>
    <x v="251"/>
    <x v="33"/>
    <x v="251"/>
    <n v="106"/>
    <x v="249"/>
    <n v="83"/>
    <n v="43"/>
    <n v="96"/>
    <n v="100"/>
    <n v="34"/>
    <n v="30"/>
    <n v="32"/>
    <n v="4"/>
    <n v="3"/>
    <n v="5"/>
    <n v="674"/>
  </r>
  <r>
    <x v="252"/>
    <x v="25"/>
    <x v="252"/>
    <n v="102"/>
    <x v="250"/>
    <n v="116"/>
    <n v="91"/>
    <n v="178"/>
    <n v="263"/>
    <n v="332"/>
    <n v="676"/>
    <n v="718"/>
    <n v="146"/>
    <n v="239"/>
    <n v="198"/>
    <n v="3195"/>
  </r>
  <r>
    <x v="253"/>
    <x v="14"/>
    <x v="253"/>
    <n v="98"/>
    <x v="251"/>
    <n v="56"/>
    <n v="0"/>
    <n v="70"/>
    <n v="74"/>
    <n v="89"/>
    <n v="107"/>
    <n v="131"/>
    <n v="164"/>
    <n v="188"/>
    <n v="230"/>
    <n v="1293"/>
  </r>
  <r>
    <x v="254"/>
    <x v="20"/>
    <x v="254"/>
    <n v="95"/>
    <x v="252"/>
    <n v="101"/>
    <n v="101"/>
    <n v="90"/>
    <n v="94"/>
    <n v="332"/>
    <n v="295"/>
    <n v="320"/>
    <n v="130"/>
    <n v="107"/>
    <n v="148"/>
    <n v="1964"/>
  </r>
  <r>
    <x v="255"/>
    <x v="16"/>
    <x v="255"/>
    <n v="94"/>
    <x v="253"/>
    <n v="2160"/>
    <n v="1839"/>
    <n v="3551"/>
    <n v="3636"/>
    <n v="4504"/>
    <n v="5314"/>
    <n v="5613"/>
    <n v="5542"/>
    <n v="5122"/>
    <n v="6107"/>
    <n v="46280"/>
  </r>
  <r>
    <x v="256"/>
    <x v="33"/>
    <x v="256"/>
    <n v="92"/>
    <x v="254"/>
    <n v="72"/>
    <n v="71"/>
    <n v="158"/>
    <n v="166"/>
    <n v="158"/>
    <n v="141"/>
    <n v="153"/>
    <n v="106"/>
    <n v="87"/>
    <n v="121"/>
    <n v="1444"/>
  </r>
  <r>
    <x v="257"/>
    <x v="29"/>
    <x v="257"/>
    <n v="72"/>
    <x v="255"/>
    <n v="56"/>
    <n v="147"/>
    <n v="327"/>
    <n v="344"/>
    <n v="652"/>
    <n v="579"/>
    <n v="627"/>
    <n v="512"/>
    <n v="420"/>
    <n v="585"/>
    <n v="4404"/>
  </r>
  <r>
    <x v="258"/>
    <x v="28"/>
    <x v="258"/>
    <n v="67"/>
    <x v="256"/>
    <n v="62"/>
    <n v="29"/>
    <n v="64"/>
    <n v="67"/>
    <n v="70"/>
    <n v="62"/>
    <n v="68"/>
    <n v="67"/>
    <n v="55"/>
    <n v="77"/>
    <n v="748"/>
  </r>
  <r>
    <x v="259"/>
    <x v="21"/>
    <x v="259"/>
    <n v="63"/>
    <x v="257"/>
    <n v="31"/>
    <n v="26"/>
    <n v="71"/>
    <n v="126"/>
    <n v="134"/>
    <n v="118"/>
    <n v="122"/>
    <n v="126"/>
    <n v="81"/>
    <n v="72"/>
    <n v="1054"/>
  </r>
  <r>
    <x v="260"/>
    <x v="22"/>
    <x v="260"/>
    <n v="57"/>
    <x v="258"/>
    <n v="45"/>
    <n v="45"/>
    <n v="100"/>
    <n v="105"/>
    <n v="83"/>
    <n v="74"/>
    <n v="80"/>
    <n v="57"/>
    <n v="47"/>
    <n v="65"/>
    <n v="832"/>
  </r>
  <r>
    <x v="261"/>
    <x v="3"/>
    <x v="261"/>
    <n v="57"/>
    <x v="259"/>
    <n v="31"/>
    <n v="11"/>
    <n v="25"/>
    <n v="26"/>
    <n v="27"/>
    <n v="64"/>
    <n v="41"/>
    <n v="27"/>
    <n v="111"/>
    <n v="20"/>
    <n v="499"/>
  </r>
  <r>
    <x v="262"/>
    <x v="24"/>
    <x v="262"/>
    <n v="52"/>
    <x v="260"/>
    <n v="41"/>
    <n v="30"/>
    <n v="67"/>
    <n v="71"/>
    <n v="52"/>
    <n v="46"/>
    <n v="50"/>
    <n v="46"/>
    <n v="37"/>
    <n v="52"/>
    <n v="611"/>
  </r>
  <r>
    <x v="263"/>
    <x v="17"/>
    <x v="263"/>
    <n v="45"/>
    <x v="261"/>
    <n v="35"/>
    <n v="13"/>
    <n v="28"/>
    <n v="30"/>
    <n v="2"/>
    <n v="2"/>
    <n v="2"/>
    <n v="5"/>
    <n v="4"/>
    <n v="5"/>
    <n v="229"/>
  </r>
  <r>
    <x v="264"/>
    <x v="33"/>
    <x v="264"/>
    <n v="42"/>
    <x v="262"/>
    <n v="33"/>
    <n v="22"/>
    <n v="50"/>
    <n v="52"/>
    <n v="48"/>
    <n v="43"/>
    <n v="47"/>
    <n v="28"/>
    <n v="23"/>
    <n v="32"/>
    <n v="475"/>
  </r>
  <r>
    <x v="265"/>
    <x v="23"/>
    <x v="265"/>
    <n v="37"/>
    <x v="263"/>
    <n v="29"/>
    <n v="3"/>
    <n v="6"/>
    <n v="6"/>
    <n v="2"/>
    <n v="2"/>
    <n v="2"/>
    <n v="1"/>
    <n v="1"/>
    <n v="2"/>
    <n v="139"/>
  </r>
  <r>
    <x v="266"/>
    <x v="23"/>
    <x v="266"/>
    <n v="36"/>
    <x v="264"/>
    <n v="29"/>
    <n v="4"/>
    <n v="8"/>
    <n v="9"/>
    <n v="5"/>
    <n v="4"/>
    <n v="4"/>
    <n v="1"/>
    <n v="1"/>
    <n v="1"/>
    <n v="149"/>
  </r>
  <r>
    <x v="267"/>
    <x v="27"/>
    <x v="267"/>
    <n v="35"/>
    <x v="265"/>
    <n v="28"/>
    <n v="4"/>
    <n v="8"/>
    <n v="8"/>
    <n v="8"/>
    <n v="7"/>
    <n v="8"/>
    <n v="12"/>
    <n v="6"/>
    <n v="159"/>
    <n v="329"/>
  </r>
  <r>
    <x v="268"/>
    <x v="22"/>
    <x v="268"/>
    <n v="32"/>
    <x v="266"/>
    <n v="25"/>
    <n v="18"/>
    <n v="41"/>
    <n v="43"/>
    <n v="69"/>
    <n v="61"/>
    <n v="66"/>
    <n v="63"/>
    <n v="52"/>
    <n v="72"/>
    <n v="583"/>
  </r>
  <r>
    <x v="269"/>
    <x v="16"/>
    <x v="269"/>
    <n v="26"/>
    <x v="267"/>
    <n v="16"/>
    <n v="12"/>
    <n v="25"/>
    <n v="23"/>
    <n v="25"/>
    <n v="34"/>
    <n v="25"/>
    <n v="41"/>
    <n v="22"/>
    <n v="33"/>
    <n v="305"/>
  </r>
  <r>
    <x v="270"/>
    <x v="0"/>
    <x v="270"/>
    <n v="26"/>
    <x v="268"/>
    <n v="20"/>
    <n v="3"/>
    <n v="7"/>
    <n v="8"/>
    <n v="0"/>
    <n v="0"/>
    <n v="0"/>
    <n v="14"/>
    <n v="4"/>
    <n v="10"/>
    <n v="125"/>
  </r>
  <r>
    <x v="271"/>
    <x v="19"/>
    <x v="271"/>
    <n v="21"/>
    <x v="269"/>
    <n v="16"/>
    <n v="34"/>
    <n v="75"/>
    <n v="79"/>
    <n v="216"/>
    <n v="191"/>
    <n v="203"/>
    <n v="216"/>
    <n v="177"/>
    <n v="247"/>
    <n v="1502"/>
  </r>
  <r>
    <x v="272"/>
    <x v="19"/>
    <x v="272"/>
    <n v="21"/>
    <x v="270"/>
    <n v="17"/>
    <n v="9"/>
    <n v="20"/>
    <n v="21"/>
    <n v="17"/>
    <n v="15"/>
    <n v="16"/>
    <n v="9"/>
    <n v="8"/>
    <n v="11"/>
    <n v="192"/>
  </r>
  <r>
    <x v="273"/>
    <x v="5"/>
    <x v="273"/>
    <n v="19"/>
    <x v="271"/>
    <n v="15"/>
    <n v="13"/>
    <n v="28"/>
    <n v="29"/>
    <n v="40"/>
    <n v="35"/>
    <n v="38"/>
    <n v="21"/>
    <n v="17"/>
    <n v="24"/>
    <n v="303"/>
  </r>
  <r>
    <x v="274"/>
    <x v="19"/>
    <x v="274"/>
    <n v="17"/>
    <x v="272"/>
    <n v="13"/>
    <n v="12"/>
    <n v="26"/>
    <n v="28"/>
    <n v="9"/>
    <n v="8"/>
    <n v="1770"/>
    <n v="19"/>
    <n v="15"/>
    <n v="21"/>
    <n v="1960"/>
  </r>
  <r>
    <x v="275"/>
    <x v="12"/>
    <x v="275"/>
    <n v="16"/>
    <x v="270"/>
    <n v="7"/>
    <n v="3"/>
    <n v="10"/>
    <n v="12"/>
    <n v="16"/>
    <n v="25"/>
    <n v="21"/>
    <n v="37"/>
    <n v="20"/>
    <n v="13"/>
    <n v="208"/>
  </r>
  <r>
    <x v="276"/>
    <x v="24"/>
    <x v="276"/>
    <n v="15"/>
    <x v="273"/>
    <n v="12"/>
    <n v="8"/>
    <n v="18"/>
    <n v="19"/>
    <n v="6"/>
    <n v="5"/>
    <n v="6"/>
    <n v="2"/>
    <n v="2"/>
    <n v="2"/>
    <n v="115"/>
  </r>
  <r>
    <x v="277"/>
    <x v="24"/>
    <x v="277"/>
    <n v="13"/>
    <x v="274"/>
    <n v="10"/>
    <n v="106"/>
    <n v="236"/>
    <n v="248"/>
    <n v="539"/>
    <n v="479"/>
    <n v="519"/>
    <n v="918"/>
    <n v="754"/>
    <n v="1049"/>
    <n v="4888"/>
  </r>
  <r>
    <x v="278"/>
    <x v="32"/>
    <x v="278"/>
    <n v="10"/>
    <x v="275"/>
    <n v="8"/>
    <n v="7"/>
    <n v="16"/>
    <n v="17"/>
    <n v="7"/>
    <n v="7"/>
    <n v="7"/>
    <n v="2"/>
    <n v="2"/>
    <n v="3"/>
    <n v="99"/>
  </r>
  <r>
    <x v="279"/>
    <x v="21"/>
    <x v="279"/>
    <n v="9"/>
    <x v="276"/>
    <n v="16"/>
    <n v="5"/>
    <n v="6"/>
    <n v="10"/>
    <n v="15"/>
    <n v="3"/>
    <n v="10"/>
    <n v="22"/>
    <n v="9"/>
    <n v="14"/>
    <n v="128"/>
  </r>
  <r>
    <x v="280"/>
    <x v="1"/>
    <x v="280"/>
    <n v="7"/>
    <x v="277"/>
    <n v="6"/>
    <n v="7"/>
    <n v="16"/>
    <n v="16"/>
    <n v="2"/>
    <n v="2"/>
    <n v="2"/>
    <n v="0"/>
    <n v="0"/>
    <n v="0"/>
    <n v="68"/>
  </r>
  <r>
    <x v="281"/>
    <x v="15"/>
    <x v="281"/>
    <n v="6"/>
    <x v="278"/>
    <n v="4"/>
    <n v="0"/>
    <n v="0"/>
    <n v="0"/>
    <n v="0"/>
    <n v="0"/>
    <n v="0"/>
    <n v="0"/>
    <n v="0"/>
    <n v="0"/>
    <n v="17"/>
  </r>
  <r>
    <x v="282"/>
    <x v="17"/>
    <x v="282"/>
    <n v="2"/>
    <x v="279"/>
    <n v="2"/>
    <n v="1"/>
    <n v="2"/>
    <n v="2"/>
    <n v="0"/>
    <n v="0"/>
    <n v="0"/>
    <n v="0"/>
    <n v="0"/>
    <n v="0"/>
    <n v="12"/>
  </r>
  <r>
    <x v="283"/>
    <x v="1"/>
    <x v="283"/>
    <n v="1"/>
    <x v="280"/>
    <n v="1"/>
    <n v="1206"/>
    <n v="2680"/>
    <n v="2814"/>
    <n v="3619"/>
    <n v="3217"/>
    <n v="3485"/>
    <n v="5825"/>
    <n v="4785"/>
    <n v="6658"/>
    <n v="34292"/>
  </r>
  <r>
    <x v="284"/>
    <x v="11"/>
    <x v="284"/>
    <n v="1"/>
    <x v="280"/>
    <n v="1"/>
    <n v="0"/>
    <n v="1"/>
    <n v="1"/>
    <n v="0"/>
    <n v="0"/>
    <n v="0"/>
    <n v="0"/>
    <n v="0"/>
    <n v="0"/>
    <n v="5"/>
  </r>
  <r>
    <x v="285"/>
    <x v="13"/>
    <x v="285"/>
    <n v="1"/>
    <x v="280"/>
    <n v="1"/>
    <n v="0"/>
    <n v="0"/>
    <n v="0"/>
    <n v="1"/>
    <n v="1"/>
    <n v="1"/>
    <n v="1"/>
    <n v="1"/>
    <n v="1"/>
    <n v="9"/>
  </r>
  <r>
    <x v="286"/>
    <x v="15"/>
    <x v="286"/>
    <n v="1"/>
    <x v="280"/>
    <n v="1"/>
    <n v="0"/>
    <n v="0"/>
    <n v="0"/>
    <n v="0"/>
    <n v="0"/>
    <n v="0"/>
    <n v="0"/>
    <n v="0"/>
    <n v="0"/>
    <n v="3"/>
  </r>
  <r>
    <x v="287"/>
    <x v="17"/>
    <x v="287"/>
    <n v="0"/>
    <x v="94"/>
    <n v="0"/>
    <n v="1666"/>
    <n v="3702"/>
    <n v="3888"/>
    <n v="5617"/>
    <n v="4993"/>
    <n v="5409"/>
    <n v="5723"/>
    <n v="4701"/>
    <n v="6541"/>
    <n v="42240"/>
  </r>
  <r>
    <x v="288"/>
    <x v="26"/>
    <x v="288"/>
    <n v="0"/>
    <x v="94"/>
    <n v="0"/>
    <n v="108"/>
    <n v="240"/>
    <n v="252"/>
    <n v="456"/>
    <n v="405"/>
    <n v="439"/>
    <n v="2429"/>
    <n v="1995"/>
    <n v="2776"/>
    <n v="9100"/>
  </r>
  <r>
    <x v="289"/>
    <x v="15"/>
    <x v="289"/>
    <n v="0"/>
    <x v="94"/>
    <n v="4069"/>
    <n v="0"/>
    <n v="0"/>
    <n v="0"/>
    <n v="0"/>
    <n v="0"/>
    <n v="0"/>
    <n v="3737"/>
    <n v="3070"/>
    <n v="4271"/>
    <n v="15147"/>
  </r>
  <r>
    <x v="290"/>
    <x v="14"/>
    <x v="290"/>
    <n v="0"/>
    <x v="281"/>
    <n v="0"/>
    <n v="0"/>
    <n v="0"/>
    <n v="0"/>
    <n v="0"/>
    <n v="0"/>
    <n v="1"/>
    <n v="0"/>
    <n v="0"/>
    <n v="0"/>
    <n v="3"/>
  </r>
  <r>
    <x v="291"/>
    <x v="4"/>
    <x v="291"/>
    <n v="0"/>
    <x v="280"/>
    <n v="0"/>
    <n v="0"/>
    <n v="0"/>
    <n v="0"/>
    <n v="0"/>
    <n v="0"/>
    <n v="0"/>
    <n v="0"/>
    <n v="0"/>
    <n v="551"/>
    <n v="552"/>
  </r>
  <r>
    <x v="292"/>
    <x v="13"/>
    <x v="292"/>
    <n v="0"/>
    <x v="94"/>
    <n v="0"/>
    <n v="0"/>
    <n v="0"/>
    <n v="0"/>
    <n v="0"/>
    <n v="0"/>
    <n v="9690"/>
    <n v="0"/>
    <n v="0"/>
    <n v="0"/>
    <n v="9690"/>
  </r>
  <r>
    <x v="293"/>
    <x v="11"/>
    <x v="293"/>
    <n v="0"/>
    <x v="94"/>
    <n v="0"/>
    <n v="0"/>
    <n v="0"/>
    <n v="0"/>
    <n v="1"/>
    <n v="1"/>
    <n v="1"/>
    <n v="1"/>
    <n v="1"/>
    <n v="1"/>
    <n v="6"/>
  </r>
  <r>
    <x v="294"/>
    <x v="0"/>
    <x v="294"/>
    <n v="0"/>
    <x v="94"/>
    <n v="0"/>
    <n v="0"/>
    <n v="0"/>
    <n v="0"/>
    <n v="0"/>
    <n v="0"/>
    <n v="0"/>
    <n v="0"/>
    <n v="22"/>
    <n v="5098"/>
    <n v="5120"/>
  </r>
  <r>
    <x v="295"/>
    <x v="0"/>
    <x v="295"/>
    <n v="0"/>
    <x v="94"/>
    <n v="0"/>
    <n v="0"/>
    <n v="0"/>
    <n v="0"/>
    <n v="0"/>
    <n v="0"/>
    <n v="0"/>
    <n v="0"/>
    <n v="0"/>
    <n v="3"/>
    <n v="3"/>
  </r>
  <r>
    <x v="296"/>
    <x v="31"/>
    <x v="296"/>
    <n v="0"/>
    <x v="94"/>
    <n v="0"/>
    <n v="0"/>
    <n v="0"/>
    <n v="0"/>
    <n v="0"/>
    <n v="0"/>
    <n v="0"/>
    <n v="0"/>
    <n v="58"/>
    <n v="1459"/>
    <n v="1517"/>
  </r>
  <r>
    <x v="297"/>
    <x v="16"/>
    <x v="297"/>
    <n v="0"/>
    <x v="94"/>
    <n v="0"/>
    <n v="0"/>
    <n v="0"/>
    <n v="0"/>
    <n v="1268"/>
    <n v="3631"/>
    <n v="5763"/>
    <n v="7528"/>
    <n v="7437"/>
    <n v="6029"/>
    <n v="31656"/>
  </r>
  <r>
    <x v="298"/>
    <x v="5"/>
    <x v="298"/>
    <n v="0"/>
    <x v="94"/>
    <n v="0"/>
    <n v="0"/>
    <n v="0"/>
    <n v="0"/>
    <n v="0"/>
    <n v="0"/>
    <n v="0"/>
    <n v="0"/>
    <n v="0"/>
    <n v="0"/>
    <n v="0"/>
  </r>
  <r>
    <x v="299"/>
    <x v="6"/>
    <x v="299"/>
    <n v="0"/>
    <x v="94"/>
    <n v="0"/>
    <n v="0"/>
    <n v="0"/>
    <n v="0"/>
    <n v="12273"/>
    <n v="10909"/>
    <n v="11818"/>
    <n v="1687"/>
    <n v="1386"/>
    <n v="1928"/>
    <n v="40001"/>
  </r>
  <r>
    <x v="300"/>
    <x v="3"/>
    <x v="300"/>
    <n v="0"/>
    <x v="94"/>
    <n v="0"/>
    <n v="0"/>
    <n v="0"/>
    <n v="0"/>
    <n v="0"/>
    <n v="43"/>
    <n v="1625"/>
    <n v="3510"/>
    <n v="3400"/>
    <n v="4495"/>
    <n v="1307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n v="24824"/>
    <n v="29245"/>
    <n v="23119"/>
    <n v="8768"/>
    <n v="19484"/>
    <n v="20459"/>
    <n v="22792"/>
    <n v="27892"/>
    <n v="28362"/>
    <n v="29666"/>
    <n v="29373"/>
    <n v="30364"/>
    <n v="294348"/>
    <x v="0"/>
  </r>
  <r>
    <x v="1"/>
    <n v="23477"/>
    <n v="26590"/>
    <n v="19147"/>
    <n v="7270"/>
    <n v="16155"/>
    <n v="16963"/>
    <n v="17564"/>
    <n v="19154"/>
    <n v="19894"/>
    <n v="21569"/>
    <n v="23987"/>
    <n v="25409"/>
    <n v="237179"/>
    <x v="0"/>
  </r>
  <r>
    <x v="2"/>
    <n v="4089"/>
    <n v="4532"/>
    <n v="2862"/>
    <n v="1620"/>
    <n v="3600"/>
    <n v="3780"/>
    <n v="4391"/>
    <n v="3905"/>
    <n v="3787"/>
    <n v="3633"/>
    <n v="3248"/>
    <n v="4078"/>
    <n v="43525"/>
    <x v="0"/>
  </r>
  <r>
    <x v="3"/>
    <n v="3934"/>
    <n v="4778"/>
    <n v="3164"/>
    <n v="960"/>
    <n v="2133"/>
    <n v="2239"/>
    <n v="3462"/>
    <n v="3987"/>
    <n v="4124"/>
    <n v="2812"/>
    <n v="3779"/>
    <n v="7513"/>
    <n v="42885"/>
    <x v="0"/>
  </r>
  <r>
    <x v="4"/>
    <n v="1510"/>
    <n v="1550"/>
    <n v="1020"/>
    <n v="627"/>
    <n v="1393"/>
    <n v="1463"/>
    <n v="1762"/>
    <n v="1813"/>
    <n v="1833"/>
    <n v="1857"/>
    <n v="1680"/>
    <n v="1913"/>
    <n v="18421"/>
    <x v="0"/>
  </r>
  <r>
    <x v="5"/>
    <n v="860"/>
    <n v="965"/>
    <n v="591"/>
    <n v="236"/>
    <n v="525"/>
    <n v="551"/>
    <n v="509"/>
    <n v="726"/>
    <n v="691"/>
    <n v="442"/>
    <n v="199"/>
    <n v="141"/>
    <n v="6436"/>
    <x v="0"/>
  </r>
  <r>
    <x v="6"/>
    <n v="342"/>
    <n v="398"/>
    <n v="273"/>
    <n v="231"/>
    <n v="512"/>
    <n v="538"/>
    <n v="515"/>
    <n v="500"/>
    <n v="489"/>
    <n v="677"/>
    <n v="708"/>
    <n v="704"/>
    <n v="5887"/>
    <x v="0"/>
  </r>
  <r>
    <x v="7"/>
    <n v="222"/>
    <n v="280"/>
    <n v="202"/>
    <n v="116"/>
    <n v="258"/>
    <n v="271"/>
    <n v="231"/>
    <n v="236"/>
    <n v="152"/>
    <n v="172"/>
    <n v="131"/>
    <n v="205"/>
    <n v="2476"/>
    <x v="0"/>
  </r>
  <r>
    <x v="8"/>
    <n v="57"/>
    <n v="59"/>
    <n v="31"/>
    <n v="11"/>
    <n v="25"/>
    <n v="26"/>
    <n v="27"/>
    <n v="64"/>
    <n v="41"/>
    <n v="27"/>
    <n v="111"/>
    <n v="20"/>
    <n v="499"/>
    <x v="0"/>
  </r>
  <r>
    <x v="9"/>
    <n v="33130"/>
    <n v="39626"/>
    <n v="24875"/>
    <n v="15431"/>
    <n v="34292"/>
    <n v="36006"/>
    <n v="36323"/>
    <n v="39239"/>
    <n v="43652"/>
    <n v="40717"/>
    <n v="40250"/>
    <n v="46846"/>
    <n v="430387"/>
    <x v="1"/>
  </r>
  <r>
    <x v="10"/>
    <n v="17009"/>
    <n v="20174"/>
    <n v="10707"/>
    <n v="5613"/>
    <n v="12472"/>
    <n v="13096"/>
    <n v="18128"/>
    <n v="21795"/>
    <n v="22307"/>
    <n v="22262"/>
    <n v="21935"/>
    <n v="26778"/>
    <n v="212276"/>
    <x v="1"/>
  </r>
  <r>
    <x v="11"/>
    <n v="9342"/>
    <n v="10912"/>
    <n v="7818"/>
    <n v="5284"/>
    <n v="11742"/>
    <n v="12330"/>
    <n v="9310"/>
    <n v="9860"/>
    <n v="10229"/>
    <n v="12940"/>
    <n v="12416"/>
    <n v="16869"/>
    <n v="129052"/>
    <x v="1"/>
  </r>
  <r>
    <x v="12"/>
    <n v="2961"/>
    <n v="4439"/>
    <n v="2972"/>
    <n v="1989"/>
    <n v="4421"/>
    <n v="4642"/>
    <n v="3677"/>
    <n v="3897"/>
    <n v="4606"/>
    <n v="3358"/>
    <n v="2666"/>
    <n v="3308"/>
    <n v="42936"/>
    <x v="1"/>
  </r>
  <r>
    <x v="13"/>
    <n v="0"/>
    <n v="0"/>
    <n v="0"/>
    <n v="0"/>
    <n v="0"/>
    <n v="0"/>
    <n v="0"/>
    <n v="43"/>
    <n v="1625"/>
    <n v="3510"/>
    <n v="3400"/>
    <n v="4495"/>
    <n v="13073"/>
    <x v="1"/>
  </r>
  <r>
    <x v="14"/>
    <n v="505"/>
    <n v="571"/>
    <n v="332"/>
    <n v="202"/>
    <n v="448"/>
    <n v="470"/>
    <n v="666"/>
    <n v="769"/>
    <n v="770"/>
    <n v="831"/>
    <n v="752"/>
    <n v="1048"/>
    <n v="7364"/>
    <x v="1"/>
  </r>
  <r>
    <x v="15"/>
    <n v="215"/>
    <n v="226"/>
    <n v="173"/>
    <n v="114"/>
    <n v="254"/>
    <n v="267"/>
    <n v="209"/>
    <n v="161"/>
    <n v="141"/>
    <n v="412"/>
    <n v="368"/>
    <n v="606"/>
    <n v="3146"/>
    <x v="1"/>
  </r>
  <r>
    <x v="16"/>
    <n v="17112"/>
    <n v="20609"/>
    <n v="15915"/>
    <n v="9191"/>
    <n v="20425"/>
    <n v="21446"/>
    <n v="17412"/>
    <n v="20579"/>
    <n v="20929"/>
    <n v="23774"/>
    <n v="22456"/>
    <n v="28957"/>
    <n v="238805"/>
    <x v="2"/>
  </r>
  <r>
    <x v="17"/>
    <n v="6655"/>
    <n v="8059"/>
    <n v="6944"/>
    <n v="4900"/>
    <n v="10889"/>
    <n v="11433"/>
    <n v="9066"/>
    <n v="10130"/>
    <n v="8738"/>
    <n v="9999"/>
    <n v="10266"/>
    <n v="12124"/>
    <n v="10920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9A775-2D57-464A-9783-578E2A40C3A1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B22" firstHeaderRow="1" firstDataRow="1" firstDataCol="1" rowPageCount="1" colPageCount="1"/>
  <pivotFields count="16">
    <pivotField showAll="0">
      <items count="302">
        <item x="184"/>
        <item x="101"/>
        <item x="279"/>
        <item x="87"/>
        <item x="259"/>
        <item x="136"/>
        <item x="278"/>
        <item x="207"/>
        <item x="204"/>
        <item x="198"/>
        <item x="168"/>
        <item x="140"/>
        <item x="190"/>
        <item x="235"/>
        <item x="241"/>
        <item x="209"/>
        <item x="134"/>
        <item x="93"/>
        <item x="120"/>
        <item x="192"/>
        <item x="268"/>
        <item x="260"/>
        <item x="206"/>
        <item x="90"/>
        <item x="200"/>
        <item x="138"/>
        <item x="274"/>
        <item x="211"/>
        <item x="210"/>
        <item x="271"/>
        <item x="272"/>
        <item x="165"/>
        <item x="195"/>
        <item x="89"/>
        <item x="205"/>
        <item x="88"/>
        <item x="220"/>
        <item x="78"/>
        <item x="236"/>
        <item x="282"/>
        <item x="105"/>
        <item x="64"/>
        <item x="287"/>
        <item x="116"/>
        <item x="263"/>
        <item x="222"/>
        <item x="276"/>
        <item x="277"/>
        <item x="183"/>
        <item x="208"/>
        <item x="262"/>
        <item x="130"/>
        <item x="143"/>
        <item x="103"/>
        <item x="144"/>
        <item x="243"/>
        <item x="43"/>
        <item x="125"/>
        <item x="114"/>
        <item x="45"/>
        <item x="172"/>
        <item x="245"/>
        <item x="6"/>
        <item x="74"/>
        <item x="147"/>
        <item x="24"/>
        <item x="1"/>
        <item x="160"/>
        <item x="97"/>
        <item x="95"/>
        <item x="50"/>
        <item x="283"/>
        <item x="27"/>
        <item x="31"/>
        <item x="280"/>
        <item x="285"/>
        <item x="132"/>
        <item x="36"/>
        <item x="292"/>
        <item x="82"/>
        <item x="54"/>
        <item x="284"/>
        <item x="57"/>
        <item x="34"/>
        <item x="69"/>
        <item x="293"/>
        <item x="249"/>
        <item x="251"/>
        <item x="264"/>
        <item x="256"/>
        <item x="294"/>
        <item x="77"/>
        <item x="29"/>
        <item x="16"/>
        <item x="92"/>
        <item x="51"/>
        <item x="11"/>
        <item x="185"/>
        <item x="191"/>
        <item x="0"/>
        <item x="22"/>
        <item x="270"/>
        <item x="56"/>
        <item x="295"/>
        <item x="47"/>
        <item x="23"/>
        <item x="112"/>
        <item x="199"/>
        <item x="218"/>
        <item x="232"/>
        <item x="296"/>
        <item x="58"/>
        <item x="156"/>
        <item x="163"/>
        <item x="12"/>
        <item x="32"/>
        <item x="72"/>
        <item x="18"/>
        <item x="8"/>
        <item x="217"/>
        <item x="4"/>
        <item x="291"/>
        <item x="108"/>
        <item x="40"/>
        <item x="158"/>
        <item x="59"/>
        <item x="104"/>
        <item x="38"/>
        <item x="96"/>
        <item x="150"/>
        <item x="37"/>
        <item x="169"/>
        <item x="76"/>
        <item x="275"/>
        <item x="65"/>
        <item x="44"/>
        <item x="62"/>
        <item x="35"/>
        <item x="202"/>
        <item x="182"/>
        <item x="133"/>
        <item x="228"/>
        <item x="265"/>
        <item x="266"/>
        <item x="164"/>
        <item x="102"/>
        <item x="131"/>
        <item x="219"/>
        <item x="159"/>
        <item x="240"/>
        <item x="242"/>
        <item x="238"/>
        <item x="258"/>
        <item x="248"/>
        <item x="26"/>
        <item x="28"/>
        <item x="68"/>
        <item x="15"/>
        <item x="71"/>
        <item x="21"/>
        <item x="237"/>
        <item x="52"/>
        <item x="297"/>
        <item x="269"/>
        <item x="148"/>
        <item x="53"/>
        <item x="145"/>
        <item x="181"/>
        <item x="255"/>
        <item x="63"/>
        <item x="61"/>
        <item x="48"/>
        <item x="194"/>
        <item x="70"/>
        <item x="288"/>
        <item x="186"/>
        <item x="189"/>
        <item x="155"/>
        <item x="162"/>
        <item x="124"/>
        <item x="167"/>
        <item x="98"/>
        <item x="231"/>
        <item x="135"/>
        <item x="196"/>
        <item x="253"/>
        <item x="290"/>
        <item x="224"/>
        <item x="226"/>
        <item x="86"/>
        <item x="229"/>
        <item x="41"/>
        <item x="154"/>
        <item x="129"/>
        <item x="215"/>
        <item x="128"/>
        <item x="267"/>
        <item x="142"/>
        <item x="178"/>
        <item x="170"/>
        <item x="110"/>
        <item x="137"/>
        <item x="177"/>
        <item x="113"/>
        <item x="20"/>
        <item x="107"/>
        <item x="221"/>
        <item x="175"/>
        <item x="227"/>
        <item x="117"/>
        <item x="179"/>
        <item x="115"/>
        <item x="213"/>
        <item x="146"/>
        <item x="149"/>
        <item x="75"/>
        <item x="85"/>
        <item x="119"/>
        <item x="197"/>
        <item x="193"/>
        <item x="244"/>
        <item x="247"/>
        <item x="141"/>
        <item x="176"/>
        <item x="212"/>
        <item x="118"/>
        <item x="152"/>
        <item x="84"/>
        <item x="254"/>
        <item x="99"/>
        <item x="239"/>
        <item x="17"/>
        <item x="106"/>
        <item x="91"/>
        <item x="273"/>
        <item x="73"/>
        <item x="203"/>
        <item x="122"/>
        <item x="66"/>
        <item x="174"/>
        <item x="151"/>
        <item x="55"/>
        <item x="298"/>
        <item x="9"/>
        <item x="39"/>
        <item x="127"/>
        <item x="81"/>
        <item x="246"/>
        <item x="188"/>
        <item x="171"/>
        <item x="173"/>
        <item x="223"/>
        <item x="257"/>
        <item x="2"/>
        <item x="94"/>
        <item x="201"/>
        <item x="60"/>
        <item x="250"/>
        <item x="33"/>
        <item x="19"/>
        <item x="80"/>
        <item x="111"/>
        <item x="25"/>
        <item x="161"/>
        <item x="10"/>
        <item x="126"/>
        <item x="157"/>
        <item x="299"/>
        <item x="30"/>
        <item x="233"/>
        <item x="153"/>
        <item x="5"/>
        <item x="100"/>
        <item x="7"/>
        <item x="14"/>
        <item x="234"/>
        <item x="261"/>
        <item x="79"/>
        <item x="3"/>
        <item x="216"/>
        <item x="83"/>
        <item x="225"/>
        <item x="13"/>
        <item x="49"/>
        <item x="300"/>
        <item x="187"/>
        <item x="230"/>
        <item x="67"/>
        <item x="289"/>
        <item x="214"/>
        <item x="281"/>
        <item x="109"/>
        <item x="46"/>
        <item x="123"/>
        <item x="42"/>
        <item x="286"/>
        <item x="180"/>
        <item x="252"/>
        <item x="166"/>
        <item x="139"/>
        <item x="121"/>
        <item t="default"/>
      </items>
    </pivotField>
    <pivotField axis="axisPage" multipleItemSelectionAllowed="1" showAll="0">
      <items count="35">
        <item h="1" x="21"/>
        <item h="1" x="32"/>
        <item h="1" x="22"/>
        <item h="1" x="19"/>
        <item h="1" x="17"/>
        <item h="1" x="24"/>
        <item h="1" x="1"/>
        <item h="1" x="13"/>
        <item h="1" x="11"/>
        <item h="1" x="33"/>
        <item h="1" x="0"/>
        <item h="1" x="31"/>
        <item h="1" x="7"/>
        <item h="1" x="4"/>
        <item h="1" x="12"/>
        <item h="1" x="23"/>
        <item h="1" x="28"/>
        <item h="1" x="8"/>
        <item h="1" x="16"/>
        <item h="1" x="26"/>
        <item h="1" x="14"/>
        <item h="1" x="27"/>
        <item h="1" x="10"/>
        <item h="1" x="18"/>
        <item h="1" x="30"/>
        <item h="1" x="20"/>
        <item h="1" x="5"/>
        <item h="1" x="29"/>
        <item h="1" x="2"/>
        <item h="1" x="9"/>
        <item h="1" x="6"/>
        <item x="3"/>
        <item h="1" x="15"/>
        <item h="1" x="25"/>
        <item t="default"/>
      </items>
    </pivotField>
    <pivotField axis="axisRow" showAll="0">
      <items count="302">
        <item x="110"/>
        <item x="137"/>
        <item x="233"/>
        <item x="285"/>
        <item x="132"/>
        <item x="251"/>
        <item x="246"/>
        <item x="188"/>
        <item x="249"/>
        <item x="206"/>
        <item x="90"/>
        <item x="239"/>
        <item x="200"/>
        <item x="278"/>
        <item x="30"/>
        <item x="138"/>
        <item x="264"/>
        <item x="256"/>
        <item x="274"/>
        <item x="211"/>
        <item x="210"/>
        <item x="198"/>
        <item x="168"/>
        <item x="140"/>
        <item x="190"/>
        <item x="235"/>
        <item x="241"/>
        <item x="58"/>
        <item x="150"/>
        <item x="18"/>
        <item x="175"/>
        <item x="17"/>
        <item x="227"/>
        <item x="106"/>
        <item x="230"/>
        <item x="60"/>
        <item x="67"/>
        <item x="289"/>
        <item x="276"/>
        <item x="153"/>
        <item x="129"/>
        <item x="214"/>
        <item x="43"/>
        <item x="125"/>
        <item x="294"/>
        <item x="250"/>
        <item x="237"/>
        <item x="114"/>
        <item x="5"/>
        <item x="156"/>
        <item x="282"/>
        <item x="171"/>
        <item x="281"/>
        <item x="117"/>
        <item x="82"/>
        <item x="54"/>
        <item x="26"/>
        <item x="100"/>
        <item x="8"/>
        <item x="179"/>
        <item x="217"/>
        <item x="45"/>
        <item x="28"/>
        <item x="215"/>
        <item x="176"/>
        <item x="7"/>
        <item x="172"/>
        <item x="212"/>
        <item x="33"/>
        <item x="245"/>
        <item x="4"/>
        <item x="291"/>
        <item x="277"/>
        <item x="183"/>
        <item x="208"/>
        <item x="262"/>
        <item x="177"/>
        <item x="113"/>
        <item x="20"/>
        <item x="107"/>
        <item x="284"/>
        <item x="288"/>
        <item x="186"/>
        <item x="189"/>
        <item x="57"/>
        <item x="115"/>
        <item x="118"/>
        <item x="77"/>
        <item x="29"/>
        <item x="37"/>
        <item x="105"/>
        <item x="64"/>
        <item x="287"/>
        <item x="116"/>
        <item x="219"/>
        <item x="6"/>
        <item x="98"/>
        <item x="130"/>
        <item x="16"/>
        <item x="92"/>
        <item x="209"/>
        <item x="51"/>
        <item x="11"/>
        <item x="74"/>
        <item x="185"/>
        <item x="108"/>
        <item x="191"/>
        <item x="19"/>
        <item x="52"/>
        <item x="159"/>
        <item x="91"/>
        <item x="0"/>
        <item x="240"/>
        <item x="22"/>
        <item x="199"/>
        <item x="218"/>
        <item x="232"/>
        <item x="213"/>
        <item x="207"/>
        <item x="146"/>
        <item x="68"/>
        <item x="149"/>
        <item x="75"/>
        <item x="85"/>
        <item x="119"/>
        <item x="109"/>
        <item x="34"/>
        <item x="15"/>
        <item x="231"/>
        <item x="270"/>
        <item x="273"/>
        <item x="296"/>
        <item x="135"/>
        <item x="14"/>
        <item x="40"/>
        <item x="271"/>
        <item x="272"/>
        <item x="184"/>
        <item x="147"/>
        <item x="80"/>
        <item x="158"/>
        <item x="169"/>
        <item x="242"/>
        <item x="196"/>
        <item x="46"/>
        <item x="69"/>
        <item x="297"/>
        <item x="269"/>
        <item x="73"/>
        <item x="76"/>
        <item x="263"/>
        <item x="234"/>
        <item x="253"/>
        <item x="203"/>
        <item x="111"/>
        <item x="290"/>
        <item x="224"/>
        <item x="226"/>
        <item x="173"/>
        <item x="24"/>
        <item x="122"/>
        <item x="101"/>
        <item x="197"/>
        <item x="152"/>
        <item x="261"/>
        <item x="128"/>
        <item x="267"/>
        <item x="142"/>
        <item x="178"/>
        <item x="10"/>
        <item x="126"/>
        <item x="157"/>
        <item x="299"/>
        <item x="66"/>
        <item x="56"/>
        <item x="295"/>
        <item x="221"/>
        <item x="170"/>
        <item x="275"/>
        <item x="148"/>
        <item x="279"/>
        <item x="174"/>
        <item x="151"/>
        <item x="86"/>
        <item x="59"/>
        <item x="53"/>
        <item x="25"/>
        <item x="84"/>
        <item x="254"/>
        <item x="99"/>
        <item x="36"/>
        <item x="65"/>
        <item x="223"/>
        <item x="123"/>
        <item x="104"/>
        <item x="55"/>
        <item x="2"/>
        <item x="38"/>
        <item x="79"/>
        <item x="94"/>
        <item x="201"/>
        <item x="134"/>
        <item x="93"/>
        <item x="133"/>
        <item x="228"/>
        <item x="120"/>
        <item x="265"/>
        <item x="192"/>
        <item x="298"/>
        <item x="266"/>
        <item x="164"/>
        <item x="102"/>
        <item x="131"/>
        <item x="268"/>
        <item x="155"/>
        <item x="162"/>
        <item x="124"/>
        <item x="167"/>
        <item x="47"/>
        <item x="3"/>
        <item x="229"/>
        <item x="87"/>
        <item x="222"/>
        <item x="71"/>
        <item x="96"/>
        <item x="145"/>
        <item x="259"/>
        <item x="9"/>
        <item x="41"/>
        <item x="180"/>
        <item x="252"/>
        <item x="44"/>
        <item x="163"/>
        <item x="193"/>
        <item x="181"/>
        <item x="255"/>
        <item x="39"/>
        <item x="216"/>
        <item x="83"/>
        <item x="12"/>
        <item x="1"/>
        <item x="244"/>
        <item x="247"/>
        <item x="62"/>
        <item x="160"/>
        <item x="63"/>
        <item x="61"/>
        <item x="97"/>
        <item x="48"/>
        <item x="141"/>
        <item x="204"/>
        <item x="194"/>
        <item x="95"/>
        <item x="225"/>
        <item x="13"/>
        <item x="50"/>
        <item x="257"/>
        <item x="70"/>
        <item x="32"/>
        <item x="42"/>
        <item x="127"/>
        <item x="136"/>
        <item x="286"/>
        <item x="292"/>
        <item x="283"/>
        <item x="23"/>
        <item x="112"/>
        <item x="27"/>
        <item x="31"/>
        <item x="260"/>
        <item x="49"/>
        <item x="35"/>
        <item x="154"/>
        <item x="202"/>
        <item x="182"/>
        <item x="300"/>
        <item x="81"/>
        <item x="293"/>
        <item x="280"/>
        <item x="21"/>
        <item x="161"/>
        <item x="165"/>
        <item x="195"/>
        <item x="89"/>
        <item x="205"/>
        <item x="88"/>
        <item x="220"/>
        <item x="78"/>
        <item x="166"/>
        <item x="139"/>
        <item x="121"/>
        <item x="238"/>
        <item x="258"/>
        <item x="248"/>
        <item x="143"/>
        <item x="103"/>
        <item x="144"/>
        <item x="243"/>
        <item x="187"/>
        <item x="72"/>
        <item x="236"/>
        <item t="default"/>
      </items>
    </pivotField>
    <pivotField numFmtId="164" showAll="0"/>
    <pivotField numFmtId="164" showAll="0">
      <items count="283">
        <item x="94"/>
        <item x="280"/>
        <item x="281"/>
        <item x="279"/>
        <item x="278"/>
        <item x="276"/>
        <item x="277"/>
        <item x="275"/>
        <item x="274"/>
        <item x="273"/>
        <item x="272"/>
        <item x="267"/>
        <item x="271"/>
        <item x="269"/>
        <item x="270"/>
        <item x="268"/>
        <item x="266"/>
        <item x="265"/>
        <item x="264"/>
        <item x="263"/>
        <item x="262"/>
        <item x="261"/>
        <item x="259"/>
        <item x="256"/>
        <item x="260"/>
        <item x="258"/>
        <item x="255"/>
        <item x="257"/>
        <item x="251"/>
        <item x="247"/>
        <item x="254"/>
        <item x="250"/>
        <item x="249"/>
        <item x="241"/>
        <item x="252"/>
        <item x="239"/>
        <item x="248"/>
        <item x="237"/>
        <item x="245"/>
        <item x="246"/>
        <item x="244"/>
        <item x="243"/>
        <item x="236"/>
        <item x="242"/>
        <item x="230"/>
        <item x="233"/>
        <item x="240"/>
        <item x="238"/>
        <item x="223"/>
        <item x="235"/>
        <item x="234"/>
        <item x="232"/>
        <item x="231"/>
        <item x="225"/>
        <item x="228"/>
        <item x="229"/>
        <item x="227"/>
        <item x="218"/>
        <item x="224"/>
        <item x="226"/>
        <item x="217"/>
        <item x="222"/>
        <item x="221"/>
        <item x="219"/>
        <item x="216"/>
        <item x="215"/>
        <item x="214"/>
        <item x="213"/>
        <item x="212"/>
        <item x="211"/>
        <item x="210"/>
        <item x="209"/>
        <item x="208"/>
        <item x="207"/>
        <item x="188"/>
        <item x="206"/>
        <item x="205"/>
        <item x="204"/>
        <item x="185"/>
        <item x="203"/>
        <item x="220"/>
        <item x="202"/>
        <item x="198"/>
        <item x="201"/>
        <item x="200"/>
        <item x="199"/>
        <item x="197"/>
        <item x="176"/>
        <item x="196"/>
        <item x="194"/>
        <item x="186"/>
        <item x="192"/>
        <item x="191"/>
        <item x="190"/>
        <item x="189"/>
        <item x="195"/>
        <item x="193"/>
        <item x="183"/>
        <item x="187"/>
        <item x="166"/>
        <item x="184"/>
        <item x="181"/>
        <item x="161"/>
        <item x="156"/>
        <item x="158"/>
        <item x="182"/>
        <item x="154"/>
        <item x="153"/>
        <item x="178"/>
        <item x="179"/>
        <item x="180"/>
        <item x="177"/>
        <item x="168"/>
        <item x="175"/>
        <item x="152"/>
        <item x="174"/>
        <item x="173"/>
        <item x="172"/>
        <item x="171"/>
        <item x="170"/>
        <item x="169"/>
        <item x="157"/>
        <item x="165"/>
        <item x="167"/>
        <item x="125"/>
        <item x="123"/>
        <item x="136"/>
        <item x="164"/>
        <item x="163"/>
        <item x="162"/>
        <item x="160"/>
        <item x="159"/>
        <item x="151"/>
        <item x="155"/>
        <item x="78"/>
        <item x="147"/>
        <item x="134"/>
        <item x="150"/>
        <item x="148"/>
        <item x="117"/>
        <item x="149"/>
        <item x="146"/>
        <item x="145"/>
        <item x="143"/>
        <item x="142"/>
        <item x="141"/>
        <item x="140"/>
        <item x="139"/>
        <item x="135"/>
        <item x="137"/>
        <item x="138"/>
        <item x="133"/>
        <item x="132"/>
        <item x="131"/>
        <item x="130"/>
        <item x="129"/>
        <item x="128"/>
        <item x="127"/>
        <item x="126"/>
        <item x="120"/>
        <item x="110"/>
        <item x="124"/>
        <item x="122"/>
        <item x="121"/>
        <item x="119"/>
        <item x="118"/>
        <item x="253"/>
        <item x="107"/>
        <item x="116"/>
        <item x="115"/>
        <item x="106"/>
        <item x="114"/>
        <item x="113"/>
        <item x="144"/>
        <item x="103"/>
        <item x="111"/>
        <item x="95"/>
        <item x="108"/>
        <item x="97"/>
        <item x="105"/>
        <item x="104"/>
        <item x="112"/>
        <item x="109"/>
        <item x="102"/>
        <item x="101"/>
        <item x="100"/>
        <item x="80"/>
        <item x="96"/>
        <item x="93"/>
        <item x="92"/>
        <item x="91"/>
        <item x="86"/>
        <item x="90"/>
        <item x="99"/>
        <item x="89"/>
        <item x="88"/>
        <item x="79"/>
        <item x="83"/>
        <item x="85"/>
        <item x="87"/>
        <item x="82"/>
        <item x="81"/>
        <item x="84"/>
        <item x="77"/>
        <item x="75"/>
        <item x="74"/>
        <item x="53"/>
        <item x="61"/>
        <item x="73"/>
        <item x="72"/>
        <item x="71"/>
        <item x="60"/>
        <item x="62"/>
        <item x="98"/>
        <item x="69"/>
        <item x="68"/>
        <item x="67"/>
        <item x="59"/>
        <item x="66"/>
        <item x="70"/>
        <item x="63"/>
        <item x="65"/>
        <item x="64"/>
        <item x="76"/>
        <item x="44"/>
        <item x="58"/>
        <item x="57"/>
        <item x="56"/>
        <item x="55"/>
        <item x="54"/>
        <item x="48"/>
        <item x="41"/>
        <item x="49"/>
        <item x="40"/>
        <item x="33"/>
        <item x="51"/>
        <item x="52"/>
        <item x="50"/>
        <item x="47"/>
        <item x="46"/>
        <item x="45"/>
        <item x="43"/>
        <item x="42"/>
        <item x="35"/>
        <item x="38"/>
        <item x="39"/>
        <item x="36"/>
        <item x="37"/>
        <item x="34"/>
        <item x="32"/>
        <item x="30"/>
        <item x="31"/>
        <item x="29"/>
        <item x="28"/>
        <item x="27"/>
        <item x="25"/>
        <item x="26"/>
        <item x="20"/>
        <item x="24"/>
        <item x="23"/>
        <item x="22"/>
        <item x="19"/>
        <item x="21"/>
        <item x="10"/>
        <item x="18"/>
        <item x="17"/>
        <item x="14"/>
        <item x="16"/>
        <item x="13"/>
        <item x="15"/>
        <item x="12"/>
        <item x="11"/>
        <item x="9"/>
        <item x="8"/>
        <item x="7"/>
        <item x="4"/>
        <item x="5"/>
        <item x="6"/>
        <item x="3"/>
        <item x="2"/>
        <item x="1"/>
        <item x="0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</pivotFields>
  <rowFields count="1">
    <field x="2"/>
  </rowFields>
  <rowItems count="19">
    <i>
      <x v="2"/>
    </i>
    <i>
      <x v="14"/>
    </i>
    <i>
      <x v="39"/>
    </i>
    <i>
      <x v="48"/>
    </i>
    <i>
      <x v="57"/>
    </i>
    <i>
      <x v="65"/>
    </i>
    <i>
      <x v="133"/>
    </i>
    <i>
      <x v="151"/>
    </i>
    <i>
      <x v="164"/>
    </i>
    <i>
      <x v="198"/>
    </i>
    <i>
      <x v="219"/>
    </i>
    <i>
      <x v="237"/>
    </i>
    <i>
      <x v="238"/>
    </i>
    <i>
      <x v="253"/>
    </i>
    <i>
      <x v="254"/>
    </i>
    <i>
      <x v="270"/>
    </i>
    <i>
      <x v="275"/>
    </i>
    <i>
      <x v="298"/>
    </i>
    <i t="grand">
      <x/>
    </i>
  </rowItems>
  <colItems count="1">
    <i/>
  </colItems>
  <pageFields count="1">
    <pageField fld="1" hier="-1"/>
  </pageFields>
  <dataFields count="1">
    <dataField name="Sum of Total" fld="15" baseField="0" baseItem="0"/>
  </dataFields>
  <chartFormats count="1"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725E0A-4EB6-400F-A4BC-6D52095E68BB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K28:L31" firstHeaderRow="1" firstDataRow="1" firstDataCol="1" rowPageCount="1" colPageCount="1"/>
  <pivotFields count="15">
    <pivotField axis="axisRow" showAll="0">
      <items count="19">
        <item x="7"/>
        <item x="11"/>
        <item x="4"/>
        <item x="0"/>
        <item x="12"/>
        <item x="1"/>
        <item x="10"/>
        <item x="15"/>
        <item x="8"/>
        <item x="2"/>
        <item x="9"/>
        <item x="14"/>
        <item x="3"/>
        <item x="6"/>
        <item x="16"/>
        <item x="17"/>
        <item x="13"/>
        <item x="5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axis="axisPage" multipleItemSelectionAllowed="1" showAll="0">
      <items count="4">
        <item h="1" x="0"/>
        <item h="1" x="1"/>
        <item x="2"/>
        <item t="default"/>
      </items>
    </pivotField>
  </pivotFields>
  <rowFields count="1">
    <field x="0"/>
  </rowFields>
  <rowItems count="3">
    <i>
      <x v="14"/>
    </i>
    <i>
      <x v="15"/>
    </i>
    <i t="grand">
      <x/>
    </i>
  </rowItems>
  <colItems count="1">
    <i/>
  </colItems>
  <pageFields count="1">
    <pageField fld="14" hier="-1"/>
  </pageFields>
  <dataFields count="1">
    <dataField name="Sum of Total" fld="1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33365-16FF-48F1-A17F-FC2A412666C8}">
  <sheetPr codeName="Sheet1"/>
  <dimension ref="A1:R314"/>
  <sheetViews>
    <sheetView tabSelected="1" workbookViewId="0">
      <selection activeCell="Q18" sqref="Q18"/>
    </sheetView>
  </sheetViews>
  <sheetFormatPr defaultRowHeight="15" x14ac:dyDescent="0.25"/>
  <cols>
    <col min="1" max="1" width="31.140625" style="1" bestFit="1" customWidth="1"/>
    <col min="2" max="2" width="4.85546875" style="5" customWidth="1"/>
    <col min="3" max="3" width="3.5703125" style="1" customWidth="1"/>
    <col min="4" max="5" width="7.140625" style="1" bestFit="1" customWidth="1"/>
    <col min="6" max="6" width="7" style="1" bestFit="1" customWidth="1"/>
    <col min="7" max="10" width="7.140625" style="1" bestFit="1" customWidth="1"/>
    <col min="11" max="14" width="7.28515625" style="1" bestFit="1" customWidth="1"/>
    <col min="15" max="15" width="7.28515625" style="2" bestFit="1" customWidth="1"/>
    <col min="16" max="16" width="9.42578125" style="1" bestFit="1" customWidth="1"/>
    <col min="17" max="17" width="33.7109375" bestFit="1" customWidth="1"/>
    <col min="18" max="18" width="7.7109375" style="1" bestFit="1" customWidth="1"/>
    <col min="19" max="16384" width="9.140625" style="1"/>
  </cols>
  <sheetData>
    <row r="1" spans="1:18" ht="13.5" x14ac:dyDescent="0.25">
      <c r="Q1" s="1"/>
    </row>
    <row r="2" spans="1:18" ht="13.5" x14ac:dyDescent="0.25">
      <c r="Q2" s="7" t="s">
        <v>345</v>
      </c>
      <c r="R2" s="8" t="s">
        <v>344</v>
      </c>
    </row>
    <row r="3" spans="1:18" ht="13.5" x14ac:dyDescent="0.25">
      <c r="Q3" s="7" t="s">
        <v>11</v>
      </c>
      <c r="R3" s="9">
        <f>VLOOKUP(Q3,A10:P311,16,FALSE)</f>
        <v>38064</v>
      </c>
    </row>
    <row r="4" spans="1:18" ht="13.5" x14ac:dyDescent="0.25">
      <c r="Q4" s="1"/>
    </row>
    <row r="5" spans="1:18" ht="13.5" x14ac:dyDescent="0.25">
      <c r="B5" s="1"/>
      <c r="Q5" s="1"/>
    </row>
    <row r="6" spans="1:18" ht="13.5" x14ac:dyDescent="0.25">
      <c r="B6" s="1"/>
      <c r="Q6" s="1"/>
    </row>
    <row r="7" spans="1:18" ht="13.5" x14ac:dyDescent="0.25">
      <c r="Q7" s="1"/>
    </row>
    <row r="8" spans="1:18" ht="13.5" x14ac:dyDescent="0.25">
      <c r="Q8" s="1"/>
    </row>
    <row r="9" spans="1:18" ht="13.5" x14ac:dyDescent="0.25">
      <c r="Q9" s="1"/>
    </row>
    <row r="10" spans="1:18" ht="13.5" x14ac:dyDescent="0.25">
      <c r="A10" s="1" t="s">
        <v>12</v>
      </c>
      <c r="B10" s="1" t="s">
        <v>0</v>
      </c>
      <c r="C10" s="5" t="s">
        <v>1</v>
      </c>
      <c r="D10" s="1" t="s">
        <v>13</v>
      </c>
      <c r="E10" s="1" t="s">
        <v>14</v>
      </c>
      <c r="F10" s="1" t="s">
        <v>15</v>
      </c>
      <c r="G10" s="1" t="s">
        <v>16</v>
      </c>
      <c r="H10" s="1" t="s">
        <v>17</v>
      </c>
      <c r="I10" s="1" t="s">
        <v>18</v>
      </c>
      <c r="J10" s="1" t="s">
        <v>19</v>
      </c>
      <c r="K10" s="1" t="s">
        <v>20</v>
      </c>
      <c r="L10" s="1" t="s">
        <v>21</v>
      </c>
      <c r="M10" s="1" t="s">
        <v>22</v>
      </c>
      <c r="N10" s="1" t="s">
        <v>23</v>
      </c>
      <c r="O10" s="1" t="s">
        <v>24</v>
      </c>
      <c r="P10" s="2" t="s">
        <v>25</v>
      </c>
      <c r="Q10" s="1"/>
    </row>
    <row r="11" spans="1:18" ht="13.5" x14ac:dyDescent="0.25">
      <c r="A11" s="1" t="str">
        <f t="shared" ref="A11:A74" si="0">CONCATENATE(B11," ",C11)</f>
        <v>Acura ILX</v>
      </c>
      <c r="B11" s="1" t="s">
        <v>2</v>
      </c>
      <c r="C11" s="6" t="s">
        <v>3</v>
      </c>
      <c r="D11" s="3">
        <v>935</v>
      </c>
      <c r="E11" s="3">
        <v>1083</v>
      </c>
      <c r="F11" s="3">
        <v>723</v>
      </c>
      <c r="G11" s="3">
        <v>506</v>
      </c>
      <c r="H11" s="3">
        <v>1039</v>
      </c>
      <c r="I11" s="3">
        <v>1109</v>
      </c>
      <c r="J11" s="3">
        <v>1230</v>
      </c>
      <c r="K11" s="3">
        <v>1331</v>
      </c>
      <c r="L11" s="3">
        <v>1377</v>
      </c>
      <c r="M11" s="3">
        <v>1523</v>
      </c>
      <c r="N11" s="3">
        <v>1141</v>
      </c>
      <c r="O11" s="3">
        <v>1417</v>
      </c>
      <c r="P11" s="4">
        <f t="shared" ref="P11:P74" si="1">SUM(D11:O11)</f>
        <v>13414</v>
      </c>
      <c r="Q11" s="1"/>
    </row>
    <row r="12" spans="1:18" ht="13.5" x14ac:dyDescent="0.25">
      <c r="A12" s="1" t="str">
        <f t="shared" si="0"/>
        <v>Acura MDX</v>
      </c>
      <c r="B12" s="1" t="s">
        <v>2</v>
      </c>
      <c r="C12" s="6" t="s">
        <v>4</v>
      </c>
      <c r="D12" s="3">
        <v>2961</v>
      </c>
      <c r="E12" s="3">
        <v>3843</v>
      </c>
      <c r="F12" s="3">
        <v>2137</v>
      </c>
      <c r="G12" s="3">
        <v>1725</v>
      </c>
      <c r="H12" s="3">
        <v>3331</v>
      </c>
      <c r="I12" s="3">
        <v>3977</v>
      </c>
      <c r="J12" s="3">
        <v>4494</v>
      </c>
      <c r="K12" s="3">
        <v>5165</v>
      </c>
      <c r="L12" s="3">
        <v>4920</v>
      </c>
      <c r="M12" s="3">
        <v>4732</v>
      </c>
      <c r="N12" s="3">
        <v>4491</v>
      </c>
      <c r="O12" s="3">
        <v>6040</v>
      </c>
      <c r="P12" s="4">
        <f t="shared" si="1"/>
        <v>47816</v>
      </c>
      <c r="Q12" s="1"/>
    </row>
    <row r="13" spans="1:18" ht="13.5" x14ac:dyDescent="0.25">
      <c r="A13" s="1" t="str">
        <f t="shared" si="0"/>
        <v>Acura NSX</v>
      </c>
      <c r="B13" s="1" t="s">
        <v>2</v>
      </c>
      <c r="C13" s="6" t="s">
        <v>5</v>
      </c>
      <c r="D13" s="3">
        <v>9</v>
      </c>
      <c r="E13" s="3">
        <v>9</v>
      </c>
      <c r="F13" s="3">
        <v>16</v>
      </c>
      <c r="G13" s="3">
        <v>5</v>
      </c>
      <c r="H13" s="3">
        <v>6</v>
      </c>
      <c r="I13" s="3">
        <v>10</v>
      </c>
      <c r="J13" s="3">
        <v>15</v>
      </c>
      <c r="K13" s="3">
        <v>3</v>
      </c>
      <c r="L13" s="3">
        <v>10</v>
      </c>
      <c r="M13" s="3">
        <v>22</v>
      </c>
      <c r="N13" s="3">
        <v>9</v>
      </c>
      <c r="O13" s="3">
        <v>14</v>
      </c>
      <c r="P13" s="4">
        <f t="shared" si="1"/>
        <v>128</v>
      </c>
      <c r="Q13" s="1"/>
    </row>
    <row r="14" spans="1:18" ht="13.5" x14ac:dyDescent="0.25">
      <c r="A14" s="1" t="str">
        <f t="shared" si="0"/>
        <v>Acura RDX</v>
      </c>
      <c r="B14" s="1" t="s">
        <v>2</v>
      </c>
      <c r="C14" s="6" t="s">
        <v>6</v>
      </c>
      <c r="D14" s="3">
        <v>3493</v>
      </c>
      <c r="E14" s="3">
        <v>4982</v>
      </c>
      <c r="F14" s="3">
        <v>2678</v>
      </c>
      <c r="G14" s="3">
        <v>1760</v>
      </c>
      <c r="H14" s="3">
        <v>4427</v>
      </c>
      <c r="I14" s="3">
        <v>5410</v>
      </c>
      <c r="J14" s="3">
        <v>5317</v>
      </c>
      <c r="K14" s="3">
        <v>5057</v>
      </c>
      <c r="L14" s="3">
        <v>4664</v>
      </c>
      <c r="M14" s="3">
        <v>5022</v>
      </c>
      <c r="N14" s="3">
        <v>4155</v>
      </c>
      <c r="O14" s="3">
        <v>5820</v>
      </c>
      <c r="P14" s="4">
        <f t="shared" si="1"/>
        <v>52785</v>
      </c>
      <c r="Q14" s="1"/>
    </row>
    <row r="15" spans="1:18" ht="13.5" x14ac:dyDescent="0.25">
      <c r="A15" s="1" t="str">
        <f t="shared" si="0"/>
        <v>Acura RLX</v>
      </c>
      <c r="B15" s="1" t="s">
        <v>2</v>
      </c>
      <c r="C15" s="6" t="s">
        <v>7</v>
      </c>
      <c r="D15" s="3">
        <v>63</v>
      </c>
      <c r="E15" s="3">
        <v>84</v>
      </c>
      <c r="F15" s="3">
        <v>31</v>
      </c>
      <c r="G15" s="3">
        <v>26</v>
      </c>
      <c r="H15" s="3">
        <v>71</v>
      </c>
      <c r="I15" s="3">
        <v>126</v>
      </c>
      <c r="J15" s="3">
        <v>134</v>
      </c>
      <c r="K15" s="3">
        <v>118</v>
      </c>
      <c r="L15" s="3">
        <v>122</v>
      </c>
      <c r="M15" s="3">
        <v>126</v>
      </c>
      <c r="N15" s="3">
        <v>81</v>
      </c>
      <c r="O15" s="3">
        <v>72</v>
      </c>
      <c r="P15" s="4">
        <f t="shared" si="1"/>
        <v>1054</v>
      </c>
      <c r="Q15" s="1"/>
    </row>
    <row r="16" spans="1:18" ht="13.5" x14ac:dyDescent="0.25">
      <c r="A16" s="1" t="str">
        <f t="shared" si="0"/>
        <v>Acura TLX</v>
      </c>
      <c r="B16" s="1" t="s">
        <v>2</v>
      </c>
      <c r="C16" s="6" t="s">
        <v>8</v>
      </c>
      <c r="D16" s="3">
        <v>1769</v>
      </c>
      <c r="E16" s="3">
        <v>2263</v>
      </c>
      <c r="F16" s="3">
        <v>1452</v>
      </c>
      <c r="G16" s="3">
        <v>1024</v>
      </c>
      <c r="H16" s="3">
        <v>1467</v>
      </c>
      <c r="I16" s="3">
        <v>1439</v>
      </c>
      <c r="J16" s="3">
        <v>1886</v>
      </c>
      <c r="K16" s="3">
        <v>1973</v>
      </c>
      <c r="L16" s="3">
        <v>1848</v>
      </c>
      <c r="M16" s="3">
        <v>2365</v>
      </c>
      <c r="N16" s="3">
        <v>2014</v>
      </c>
      <c r="O16" s="3">
        <v>2285</v>
      </c>
      <c r="P16" s="4">
        <f t="shared" si="1"/>
        <v>21785</v>
      </c>
      <c r="Q16" s="1"/>
    </row>
    <row r="17" spans="1:17" ht="13.5" x14ac:dyDescent="0.25">
      <c r="A17" s="1" t="str">
        <f t="shared" si="0"/>
        <v>Alfa Romeo 4C</v>
      </c>
      <c r="B17" s="1" t="s">
        <v>9</v>
      </c>
      <c r="C17" s="6" t="s">
        <v>10</v>
      </c>
      <c r="D17" s="3">
        <v>10</v>
      </c>
      <c r="E17" s="3">
        <v>13</v>
      </c>
      <c r="F17" s="3">
        <v>8</v>
      </c>
      <c r="G17" s="3">
        <v>7</v>
      </c>
      <c r="H17" s="3">
        <v>16</v>
      </c>
      <c r="I17" s="3">
        <v>17</v>
      </c>
      <c r="J17" s="3">
        <v>7</v>
      </c>
      <c r="K17" s="3">
        <v>7</v>
      </c>
      <c r="L17" s="3">
        <v>7</v>
      </c>
      <c r="M17" s="3">
        <v>2</v>
      </c>
      <c r="N17" s="3">
        <v>2</v>
      </c>
      <c r="O17" s="3">
        <v>3</v>
      </c>
      <c r="P17" s="4">
        <f t="shared" si="1"/>
        <v>99</v>
      </c>
      <c r="Q17" s="1"/>
    </row>
    <row r="18" spans="1:17" ht="13.5" x14ac:dyDescent="0.25">
      <c r="A18" s="1" t="str">
        <f t="shared" si="0"/>
        <v>Alfa Romeo Giulia</v>
      </c>
      <c r="B18" s="1" t="s">
        <v>9</v>
      </c>
      <c r="C18" s="6" t="s">
        <v>58</v>
      </c>
      <c r="D18" s="3">
        <v>571</v>
      </c>
      <c r="E18" s="3">
        <v>740</v>
      </c>
      <c r="F18" s="3">
        <v>448</v>
      </c>
      <c r="G18" s="3">
        <v>305</v>
      </c>
      <c r="H18" s="3">
        <v>677</v>
      </c>
      <c r="I18" s="3">
        <v>711</v>
      </c>
      <c r="J18" s="3">
        <v>769</v>
      </c>
      <c r="K18" s="3">
        <v>683</v>
      </c>
      <c r="L18" s="3">
        <v>740</v>
      </c>
      <c r="M18" s="3">
        <v>864</v>
      </c>
      <c r="N18" s="3">
        <v>709</v>
      </c>
      <c r="O18" s="3">
        <v>987</v>
      </c>
      <c r="P18" s="4">
        <f t="shared" si="1"/>
        <v>8204</v>
      </c>
      <c r="Q18" s="1"/>
    </row>
    <row r="19" spans="1:17" ht="13.5" x14ac:dyDescent="0.25">
      <c r="A19" s="1" t="str">
        <f t="shared" si="0"/>
        <v>Alfa Romeo Stelvio</v>
      </c>
      <c r="B19" s="1" t="s">
        <v>9</v>
      </c>
      <c r="C19" s="6" t="s">
        <v>59</v>
      </c>
      <c r="D19" s="3">
        <v>621</v>
      </c>
      <c r="E19" s="3">
        <v>804</v>
      </c>
      <c r="F19" s="3">
        <v>487</v>
      </c>
      <c r="G19" s="3">
        <v>360</v>
      </c>
      <c r="H19" s="3">
        <v>801</v>
      </c>
      <c r="I19" s="3">
        <v>841</v>
      </c>
      <c r="J19" s="3">
        <v>997</v>
      </c>
      <c r="K19" s="3">
        <v>886</v>
      </c>
      <c r="L19" s="3">
        <v>960</v>
      </c>
      <c r="M19" s="3">
        <v>1189</v>
      </c>
      <c r="N19" s="3">
        <v>977</v>
      </c>
      <c r="O19" s="3">
        <v>1359</v>
      </c>
      <c r="P19" s="4">
        <f t="shared" si="1"/>
        <v>10282</v>
      </c>
      <c r="Q19" s="1"/>
    </row>
    <row r="20" spans="1:17" ht="13.5" x14ac:dyDescent="0.25">
      <c r="A20" s="1" t="str">
        <f t="shared" si="0"/>
        <v>Audi A3</v>
      </c>
      <c r="B20" s="1" t="s">
        <v>26</v>
      </c>
      <c r="C20" s="6" t="s">
        <v>60</v>
      </c>
      <c r="D20" s="3">
        <v>727</v>
      </c>
      <c r="E20" s="3">
        <v>941</v>
      </c>
      <c r="F20" s="3">
        <v>570</v>
      </c>
      <c r="G20" s="3">
        <v>342</v>
      </c>
      <c r="H20" s="3">
        <v>761</v>
      </c>
      <c r="I20" s="3">
        <v>799</v>
      </c>
      <c r="J20" s="3">
        <v>896</v>
      </c>
      <c r="K20" s="3">
        <v>796</v>
      </c>
      <c r="L20" s="3">
        <v>863</v>
      </c>
      <c r="M20" s="3">
        <v>1094</v>
      </c>
      <c r="N20" s="3">
        <v>899</v>
      </c>
      <c r="O20" s="3">
        <v>1250</v>
      </c>
      <c r="P20" s="4">
        <f t="shared" si="1"/>
        <v>9938</v>
      </c>
      <c r="Q20" s="1"/>
    </row>
    <row r="21" spans="1:17" ht="13.5" x14ac:dyDescent="0.25">
      <c r="A21" s="1" t="str">
        <f t="shared" si="0"/>
        <v>Audi A4</v>
      </c>
      <c r="B21" s="1" t="s">
        <v>26</v>
      </c>
      <c r="C21" s="6" t="s">
        <v>61</v>
      </c>
      <c r="D21" s="3">
        <v>1283</v>
      </c>
      <c r="E21" s="3">
        <v>1661</v>
      </c>
      <c r="F21" s="3">
        <v>1006</v>
      </c>
      <c r="G21" s="3">
        <v>795</v>
      </c>
      <c r="H21" s="3">
        <v>1766</v>
      </c>
      <c r="I21" s="3">
        <v>1854</v>
      </c>
      <c r="J21" s="3">
        <v>2089</v>
      </c>
      <c r="K21" s="3">
        <v>1857</v>
      </c>
      <c r="L21" s="3">
        <v>2012</v>
      </c>
      <c r="M21" s="3">
        <v>1356</v>
      </c>
      <c r="N21" s="3">
        <v>1114</v>
      </c>
      <c r="O21" s="3">
        <v>1549</v>
      </c>
      <c r="P21" s="4">
        <f t="shared" si="1"/>
        <v>18342</v>
      </c>
      <c r="Q21" s="1"/>
    </row>
    <row r="22" spans="1:17" ht="13.5" x14ac:dyDescent="0.25">
      <c r="A22" s="1" t="str">
        <f t="shared" si="0"/>
        <v>Audi A5</v>
      </c>
      <c r="B22" s="1" t="s">
        <v>26</v>
      </c>
      <c r="C22" s="6" t="s">
        <v>62</v>
      </c>
      <c r="D22" s="3">
        <v>1728</v>
      </c>
      <c r="E22" s="3">
        <v>2237</v>
      </c>
      <c r="F22" s="3">
        <v>1355</v>
      </c>
      <c r="G22" s="3">
        <v>898</v>
      </c>
      <c r="H22" s="3">
        <v>1996</v>
      </c>
      <c r="I22" s="3">
        <v>2096</v>
      </c>
      <c r="J22" s="3">
        <v>1304</v>
      </c>
      <c r="K22" s="3">
        <v>1159</v>
      </c>
      <c r="L22" s="3">
        <v>1255</v>
      </c>
      <c r="M22" s="3">
        <v>1619</v>
      </c>
      <c r="N22" s="3">
        <v>1330</v>
      </c>
      <c r="O22" s="3">
        <v>1850</v>
      </c>
      <c r="P22" s="4">
        <f t="shared" si="1"/>
        <v>18827</v>
      </c>
      <c r="Q22" s="1"/>
    </row>
    <row r="23" spans="1:17" ht="13.5" x14ac:dyDescent="0.25">
      <c r="A23" s="1" t="str">
        <f t="shared" si="0"/>
        <v>Audi A6</v>
      </c>
      <c r="B23" s="1" t="s">
        <v>26</v>
      </c>
      <c r="C23" s="6" t="s">
        <v>63</v>
      </c>
      <c r="D23" s="3">
        <v>809</v>
      </c>
      <c r="E23" s="3">
        <v>1048</v>
      </c>
      <c r="F23" s="3">
        <v>635</v>
      </c>
      <c r="G23" s="3">
        <v>374</v>
      </c>
      <c r="H23" s="3">
        <v>830</v>
      </c>
      <c r="I23" s="3">
        <v>872</v>
      </c>
      <c r="J23" s="3">
        <v>1216</v>
      </c>
      <c r="K23" s="3">
        <v>1081</v>
      </c>
      <c r="L23" s="3">
        <v>1171</v>
      </c>
      <c r="M23" s="3">
        <v>843</v>
      </c>
      <c r="N23" s="3">
        <v>693</v>
      </c>
      <c r="O23" s="3">
        <v>964</v>
      </c>
      <c r="P23" s="4">
        <f t="shared" si="1"/>
        <v>10536</v>
      </c>
      <c r="Q23" s="1"/>
    </row>
    <row r="24" spans="1:17" ht="13.5" x14ac:dyDescent="0.25">
      <c r="A24" s="1" t="str">
        <f t="shared" si="0"/>
        <v>Audi A7</v>
      </c>
      <c r="B24" s="1" t="s">
        <v>26</v>
      </c>
      <c r="C24" s="6" t="s">
        <v>64</v>
      </c>
      <c r="D24" s="3">
        <v>211</v>
      </c>
      <c r="E24" s="3">
        <v>273</v>
      </c>
      <c r="F24" s="3">
        <v>165</v>
      </c>
      <c r="G24" s="3">
        <v>107</v>
      </c>
      <c r="H24" s="3">
        <v>238</v>
      </c>
      <c r="I24" s="3">
        <v>250</v>
      </c>
      <c r="J24" s="3">
        <v>263</v>
      </c>
      <c r="K24" s="3">
        <v>233</v>
      </c>
      <c r="L24" s="3">
        <v>253</v>
      </c>
      <c r="M24" s="3">
        <v>292</v>
      </c>
      <c r="N24" s="3">
        <v>240</v>
      </c>
      <c r="O24" s="3">
        <v>334</v>
      </c>
      <c r="P24" s="4">
        <f t="shared" si="1"/>
        <v>2859</v>
      </c>
      <c r="Q24" s="1"/>
    </row>
    <row r="25" spans="1:17" ht="13.5" x14ac:dyDescent="0.25">
      <c r="A25" s="1" t="str">
        <f t="shared" si="0"/>
        <v>Audi A8</v>
      </c>
      <c r="B25" s="1" t="s">
        <v>26</v>
      </c>
      <c r="C25" s="6" t="s">
        <v>65</v>
      </c>
      <c r="D25" s="3">
        <v>180</v>
      </c>
      <c r="E25" s="3">
        <v>233</v>
      </c>
      <c r="F25" s="3">
        <v>141</v>
      </c>
      <c r="G25" s="3">
        <v>83</v>
      </c>
      <c r="H25" s="3">
        <v>185</v>
      </c>
      <c r="I25" s="3">
        <v>194</v>
      </c>
      <c r="J25" s="3">
        <v>230</v>
      </c>
      <c r="K25" s="3">
        <v>204</v>
      </c>
      <c r="L25" s="3">
        <v>222</v>
      </c>
      <c r="M25" s="3">
        <v>237</v>
      </c>
      <c r="N25" s="3">
        <v>195</v>
      </c>
      <c r="O25" s="3">
        <v>271</v>
      </c>
      <c r="P25" s="4">
        <f t="shared" si="1"/>
        <v>2375</v>
      </c>
      <c r="Q25" s="1"/>
    </row>
    <row r="26" spans="1:17" ht="13.5" x14ac:dyDescent="0.25">
      <c r="A26" s="1" t="str">
        <f t="shared" si="0"/>
        <v>Audi eTron</v>
      </c>
      <c r="B26" s="1" t="s">
        <v>26</v>
      </c>
      <c r="C26" s="6" t="s">
        <v>66</v>
      </c>
      <c r="D26" s="3">
        <v>556</v>
      </c>
      <c r="E26" s="3">
        <v>719</v>
      </c>
      <c r="F26" s="3">
        <v>436</v>
      </c>
      <c r="G26" s="3">
        <v>209</v>
      </c>
      <c r="H26" s="3">
        <v>464</v>
      </c>
      <c r="I26" s="3">
        <v>488</v>
      </c>
      <c r="J26" s="3">
        <v>805</v>
      </c>
      <c r="K26" s="3">
        <v>716</v>
      </c>
      <c r="L26" s="3">
        <v>775</v>
      </c>
      <c r="M26" s="3">
        <v>686</v>
      </c>
      <c r="N26" s="3">
        <v>564</v>
      </c>
      <c r="O26" s="3">
        <v>784</v>
      </c>
      <c r="P26" s="4">
        <f t="shared" si="1"/>
        <v>7202</v>
      </c>
      <c r="Q26" s="1"/>
    </row>
    <row r="27" spans="1:17" ht="13.5" x14ac:dyDescent="0.25">
      <c r="A27" s="1" t="str">
        <f t="shared" si="0"/>
        <v>Audi Q3</v>
      </c>
      <c r="B27" s="1" t="s">
        <v>26</v>
      </c>
      <c r="C27" s="6" t="s">
        <v>67</v>
      </c>
      <c r="D27" s="3">
        <v>1805</v>
      </c>
      <c r="E27" s="3">
        <v>2336</v>
      </c>
      <c r="F27" s="3">
        <v>1415</v>
      </c>
      <c r="G27" s="3">
        <v>794</v>
      </c>
      <c r="H27" s="3">
        <v>1764</v>
      </c>
      <c r="I27" s="3">
        <v>1853</v>
      </c>
      <c r="J27" s="3">
        <v>2571</v>
      </c>
      <c r="K27" s="3">
        <v>2286</v>
      </c>
      <c r="L27" s="3">
        <v>2476</v>
      </c>
      <c r="M27" s="3">
        <v>3357</v>
      </c>
      <c r="N27" s="3">
        <v>2758</v>
      </c>
      <c r="O27" s="3">
        <v>3837</v>
      </c>
      <c r="P27" s="4">
        <f t="shared" si="1"/>
        <v>27252</v>
      </c>
      <c r="Q27" s="1"/>
    </row>
    <row r="28" spans="1:17" ht="13.5" x14ac:dyDescent="0.25">
      <c r="A28" s="1" t="str">
        <f t="shared" si="0"/>
        <v>Audi Q5</v>
      </c>
      <c r="B28" s="1" t="s">
        <v>26</v>
      </c>
      <c r="C28" s="6" t="s">
        <v>68</v>
      </c>
      <c r="D28" s="3">
        <v>3235</v>
      </c>
      <c r="E28" s="3">
        <v>4188</v>
      </c>
      <c r="F28" s="3">
        <v>2537</v>
      </c>
      <c r="G28" s="3">
        <v>1453</v>
      </c>
      <c r="H28" s="3">
        <v>3229</v>
      </c>
      <c r="I28" s="3">
        <v>3390</v>
      </c>
      <c r="J28" s="3">
        <v>3976</v>
      </c>
      <c r="K28" s="3">
        <v>3534</v>
      </c>
      <c r="L28" s="3">
        <v>3829</v>
      </c>
      <c r="M28" s="3">
        <v>7106</v>
      </c>
      <c r="N28" s="3">
        <v>5837</v>
      </c>
      <c r="O28" s="3">
        <v>8121</v>
      </c>
      <c r="P28" s="4">
        <f t="shared" si="1"/>
        <v>50435</v>
      </c>
      <c r="Q28" s="1"/>
    </row>
    <row r="29" spans="1:17" ht="13.5" x14ac:dyDescent="0.25">
      <c r="A29" s="1" t="str">
        <f t="shared" si="0"/>
        <v>Audi Q7</v>
      </c>
      <c r="B29" s="1" t="s">
        <v>26</v>
      </c>
      <c r="C29" s="6" t="s">
        <v>69</v>
      </c>
      <c r="D29" s="3">
        <v>2024</v>
      </c>
      <c r="E29" s="3">
        <v>2621</v>
      </c>
      <c r="F29" s="3">
        <v>1587</v>
      </c>
      <c r="G29" s="3">
        <v>795</v>
      </c>
      <c r="H29" s="3">
        <v>1767</v>
      </c>
      <c r="I29" s="3">
        <v>1856</v>
      </c>
      <c r="J29" s="3">
        <v>2151</v>
      </c>
      <c r="K29" s="3">
        <v>1912</v>
      </c>
      <c r="L29" s="3">
        <v>2071</v>
      </c>
      <c r="M29" s="3">
        <v>2897</v>
      </c>
      <c r="N29" s="3">
        <v>2380</v>
      </c>
      <c r="O29" s="3">
        <v>3311</v>
      </c>
      <c r="P29" s="4">
        <f t="shared" si="1"/>
        <v>25372</v>
      </c>
      <c r="Q29" s="1"/>
    </row>
    <row r="30" spans="1:17" ht="13.5" x14ac:dyDescent="0.25">
      <c r="A30" s="1" t="str">
        <f t="shared" si="0"/>
        <v>Audi Q8</v>
      </c>
      <c r="B30" s="1" t="s">
        <v>26</v>
      </c>
      <c r="C30" s="6" t="s">
        <v>70</v>
      </c>
      <c r="D30" s="3">
        <v>791</v>
      </c>
      <c r="E30" s="3">
        <v>1024</v>
      </c>
      <c r="F30" s="3">
        <v>620</v>
      </c>
      <c r="G30" s="3">
        <v>357</v>
      </c>
      <c r="H30" s="3">
        <v>794</v>
      </c>
      <c r="I30" s="3">
        <v>834</v>
      </c>
      <c r="J30" s="3">
        <v>1142</v>
      </c>
      <c r="K30" s="3">
        <v>1015</v>
      </c>
      <c r="L30" s="3">
        <v>1100</v>
      </c>
      <c r="M30" s="3">
        <v>1483</v>
      </c>
      <c r="N30" s="3">
        <v>1218</v>
      </c>
      <c r="O30" s="3">
        <v>1694</v>
      </c>
      <c r="P30" s="4">
        <f t="shared" si="1"/>
        <v>12072</v>
      </c>
      <c r="Q30" s="1"/>
    </row>
    <row r="31" spans="1:17" ht="13.5" x14ac:dyDescent="0.25">
      <c r="A31" s="1" t="str">
        <f t="shared" si="0"/>
        <v>Audi R8</v>
      </c>
      <c r="B31" s="1" t="s">
        <v>26</v>
      </c>
      <c r="C31" s="6" t="s">
        <v>71</v>
      </c>
      <c r="D31" s="3">
        <v>32</v>
      </c>
      <c r="E31" s="3">
        <v>41</v>
      </c>
      <c r="F31" s="3">
        <v>25</v>
      </c>
      <c r="G31" s="3">
        <v>18</v>
      </c>
      <c r="H31" s="3">
        <v>41</v>
      </c>
      <c r="I31" s="3">
        <v>43</v>
      </c>
      <c r="J31" s="3">
        <v>69</v>
      </c>
      <c r="K31" s="3">
        <v>61</v>
      </c>
      <c r="L31" s="3">
        <v>66</v>
      </c>
      <c r="M31" s="3">
        <v>63</v>
      </c>
      <c r="N31" s="3">
        <v>52</v>
      </c>
      <c r="O31" s="3">
        <v>72</v>
      </c>
      <c r="P31" s="4">
        <f t="shared" si="1"/>
        <v>583</v>
      </c>
      <c r="Q31" s="1"/>
    </row>
    <row r="32" spans="1:17" ht="13.5" x14ac:dyDescent="0.25">
      <c r="A32" s="1" t="str">
        <f t="shared" si="0"/>
        <v>Audi TT</v>
      </c>
      <c r="B32" s="1" t="s">
        <v>26</v>
      </c>
      <c r="C32" s="6" t="s">
        <v>72</v>
      </c>
      <c r="D32" s="3">
        <v>57</v>
      </c>
      <c r="E32" s="3">
        <v>74</v>
      </c>
      <c r="F32" s="3">
        <v>45</v>
      </c>
      <c r="G32" s="3">
        <v>45</v>
      </c>
      <c r="H32" s="3">
        <v>100</v>
      </c>
      <c r="I32" s="3">
        <v>105</v>
      </c>
      <c r="J32" s="3">
        <v>83</v>
      </c>
      <c r="K32" s="3">
        <v>74</v>
      </c>
      <c r="L32" s="3">
        <v>80</v>
      </c>
      <c r="M32" s="3">
        <v>57</v>
      </c>
      <c r="N32" s="3">
        <v>47</v>
      </c>
      <c r="O32" s="3">
        <v>65</v>
      </c>
      <c r="P32" s="4">
        <f t="shared" si="1"/>
        <v>832</v>
      </c>
      <c r="Q32" s="1"/>
    </row>
    <row r="33" spans="1:17" ht="13.5" x14ac:dyDescent="0.25">
      <c r="A33" s="1" t="str">
        <f t="shared" si="0"/>
        <v>BMW 2 Series</v>
      </c>
      <c r="B33" s="1" t="s">
        <v>27</v>
      </c>
      <c r="C33" s="6" t="s">
        <v>73</v>
      </c>
      <c r="D33" s="3">
        <v>576</v>
      </c>
      <c r="E33" s="3">
        <v>745</v>
      </c>
      <c r="F33" s="3">
        <v>451</v>
      </c>
      <c r="G33" s="3">
        <v>685</v>
      </c>
      <c r="H33" s="3">
        <v>1522</v>
      </c>
      <c r="I33" s="3">
        <v>1598</v>
      </c>
      <c r="J33" s="3">
        <v>1467</v>
      </c>
      <c r="K33" s="3">
        <v>1299</v>
      </c>
      <c r="L33" s="3">
        <v>16</v>
      </c>
      <c r="M33" s="3">
        <v>1636</v>
      </c>
      <c r="N33" s="3">
        <v>1344</v>
      </c>
      <c r="O33" s="3">
        <v>1870</v>
      </c>
      <c r="P33" s="4">
        <f t="shared" si="1"/>
        <v>13209</v>
      </c>
      <c r="Q33" s="1"/>
    </row>
    <row r="34" spans="1:17" ht="13.5" x14ac:dyDescent="0.25">
      <c r="A34" s="1" t="str">
        <f t="shared" si="0"/>
        <v>BMW 3 Series</v>
      </c>
      <c r="B34" s="1" t="s">
        <v>27</v>
      </c>
      <c r="C34" s="6" t="s">
        <v>74</v>
      </c>
      <c r="D34" s="3">
        <v>3447</v>
      </c>
      <c r="E34" s="3">
        <v>4463</v>
      </c>
      <c r="F34" s="3">
        <v>2703</v>
      </c>
      <c r="G34" s="3">
        <v>1388</v>
      </c>
      <c r="H34" s="3">
        <v>3085</v>
      </c>
      <c r="I34" s="3">
        <v>3239</v>
      </c>
      <c r="J34" s="3">
        <v>3638</v>
      </c>
      <c r="K34" s="3">
        <v>3222</v>
      </c>
      <c r="L34" s="3">
        <v>1383</v>
      </c>
      <c r="M34" s="3">
        <v>4292</v>
      </c>
      <c r="N34" s="3">
        <v>3525</v>
      </c>
      <c r="O34" s="3">
        <v>4905</v>
      </c>
      <c r="P34" s="4">
        <f t="shared" si="1"/>
        <v>39290</v>
      </c>
      <c r="Q34" s="1"/>
    </row>
    <row r="35" spans="1:17" ht="13.5" x14ac:dyDescent="0.25">
      <c r="A35" s="1" t="str">
        <f t="shared" si="0"/>
        <v>BMW 4 Series</v>
      </c>
      <c r="B35" s="1" t="s">
        <v>27</v>
      </c>
      <c r="C35" s="6" t="s">
        <v>75</v>
      </c>
      <c r="D35" s="3">
        <v>714</v>
      </c>
      <c r="E35" s="3">
        <v>924</v>
      </c>
      <c r="F35" s="3">
        <v>560</v>
      </c>
      <c r="G35" s="3">
        <v>317</v>
      </c>
      <c r="H35" s="3">
        <v>704</v>
      </c>
      <c r="I35" s="3">
        <v>739</v>
      </c>
      <c r="J35" s="3">
        <v>587</v>
      </c>
      <c r="K35" s="3">
        <v>520</v>
      </c>
      <c r="L35" s="3">
        <v>3430</v>
      </c>
      <c r="M35" s="3">
        <v>1303</v>
      </c>
      <c r="N35" s="3">
        <v>1070</v>
      </c>
      <c r="O35" s="3">
        <v>1489</v>
      </c>
      <c r="P35" s="4">
        <f t="shared" si="1"/>
        <v>12357</v>
      </c>
      <c r="Q35" s="1"/>
    </row>
    <row r="36" spans="1:17" ht="13.5" x14ac:dyDescent="0.25">
      <c r="A36" s="1" t="str">
        <f t="shared" si="0"/>
        <v>BMW 5 Series</v>
      </c>
      <c r="B36" s="1" t="s">
        <v>27</v>
      </c>
      <c r="C36" s="6" t="s">
        <v>76</v>
      </c>
      <c r="D36" s="3">
        <v>1752</v>
      </c>
      <c r="E36" s="3">
        <v>2269</v>
      </c>
      <c r="F36" s="3">
        <v>1374</v>
      </c>
      <c r="G36" s="3">
        <v>889</v>
      </c>
      <c r="H36" s="3">
        <v>1976</v>
      </c>
      <c r="I36" s="3">
        <v>2075</v>
      </c>
      <c r="J36" s="3">
        <v>1877</v>
      </c>
      <c r="K36" s="3">
        <v>1663</v>
      </c>
      <c r="L36" s="3">
        <v>553</v>
      </c>
      <c r="M36" s="3">
        <v>3740</v>
      </c>
      <c r="N36" s="3">
        <v>3072</v>
      </c>
      <c r="O36" s="3">
        <v>4275</v>
      </c>
      <c r="P36" s="4">
        <f t="shared" si="1"/>
        <v>25515</v>
      </c>
      <c r="Q36" s="1"/>
    </row>
    <row r="37" spans="1:17" ht="13.5" x14ac:dyDescent="0.25">
      <c r="A37" s="1" t="str">
        <f t="shared" si="0"/>
        <v>BMW 6 Series</v>
      </c>
      <c r="B37" s="1" t="s">
        <v>27</v>
      </c>
      <c r="C37" s="6" t="s">
        <v>77</v>
      </c>
      <c r="D37" s="3">
        <v>17</v>
      </c>
      <c r="E37" s="3">
        <v>22</v>
      </c>
      <c r="F37" s="3">
        <v>13</v>
      </c>
      <c r="G37" s="3">
        <v>12</v>
      </c>
      <c r="H37" s="3">
        <v>26</v>
      </c>
      <c r="I37" s="3">
        <v>28</v>
      </c>
      <c r="J37" s="3">
        <v>9</v>
      </c>
      <c r="K37" s="3">
        <v>8</v>
      </c>
      <c r="L37" s="3">
        <v>1770</v>
      </c>
      <c r="M37" s="3">
        <v>19</v>
      </c>
      <c r="N37" s="3">
        <v>15</v>
      </c>
      <c r="O37" s="3">
        <v>21</v>
      </c>
      <c r="P37" s="4">
        <f t="shared" si="1"/>
        <v>1960</v>
      </c>
      <c r="Q37" s="1"/>
    </row>
    <row r="38" spans="1:17" ht="13.5" x14ac:dyDescent="0.25">
      <c r="A38" s="1" t="str">
        <f t="shared" si="0"/>
        <v>BMW 7 Series</v>
      </c>
      <c r="B38" s="1" t="s">
        <v>27</v>
      </c>
      <c r="C38" s="6" t="s">
        <v>78</v>
      </c>
      <c r="D38" s="3">
        <v>547</v>
      </c>
      <c r="E38" s="3">
        <v>709</v>
      </c>
      <c r="F38" s="3">
        <v>429</v>
      </c>
      <c r="G38" s="3">
        <v>209</v>
      </c>
      <c r="H38" s="3">
        <v>465</v>
      </c>
      <c r="I38" s="3">
        <v>488</v>
      </c>
      <c r="J38" s="3">
        <v>479</v>
      </c>
      <c r="K38" s="3">
        <v>424</v>
      </c>
      <c r="L38" s="3">
        <v>9</v>
      </c>
      <c r="M38" s="3">
        <v>751</v>
      </c>
      <c r="N38" s="3">
        <v>617</v>
      </c>
      <c r="O38" s="3">
        <v>858</v>
      </c>
      <c r="P38" s="4">
        <f t="shared" si="1"/>
        <v>5985</v>
      </c>
      <c r="Q38" s="1"/>
    </row>
    <row r="39" spans="1:17" ht="13.5" x14ac:dyDescent="0.25">
      <c r="A39" s="1" t="str">
        <f t="shared" si="0"/>
        <v>BMW 8 Series</v>
      </c>
      <c r="B39" s="1" t="s">
        <v>27</v>
      </c>
      <c r="C39" s="6" t="s">
        <v>79</v>
      </c>
      <c r="D39" s="3">
        <v>550</v>
      </c>
      <c r="E39" s="3">
        <v>712</v>
      </c>
      <c r="F39" s="3">
        <v>431</v>
      </c>
      <c r="G39" s="3">
        <v>314</v>
      </c>
      <c r="H39" s="3">
        <v>699</v>
      </c>
      <c r="I39" s="3">
        <v>734</v>
      </c>
      <c r="J39" s="3">
        <v>742</v>
      </c>
      <c r="K39" s="3">
        <v>657</v>
      </c>
      <c r="L39" s="3">
        <v>699</v>
      </c>
      <c r="M39" s="3">
        <v>734</v>
      </c>
      <c r="N39" s="3">
        <v>603</v>
      </c>
      <c r="O39" s="3">
        <v>839</v>
      </c>
      <c r="P39" s="4">
        <f t="shared" si="1"/>
        <v>7714</v>
      </c>
      <c r="Q39" s="1"/>
    </row>
    <row r="40" spans="1:17" ht="13.5" x14ac:dyDescent="0.25">
      <c r="A40" s="1" t="str">
        <f t="shared" si="0"/>
        <v>BMW i3</v>
      </c>
      <c r="B40" s="1" t="s">
        <v>27</v>
      </c>
      <c r="C40" s="6" t="s">
        <v>80</v>
      </c>
      <c r="D40" s="3">
        <v>21</v>
      </c>
      <c r="E40" s="3">
        <v>27</v>
      </c>
      <c r="F40" s="3">
        <v>16</v>
      </c>
      <c r="G40" s="3">
        <v>34</v>
      </c>
      <c r="H40" s="3">
        <v>75</v>
      </c>
      <c r="I40" s="3">
        <v>79</v>
      </c>
      <c r="J40" s="3">
        <v>216</v>
      </c>
      <c r="K40" s="3">
        <v>191</v>
      </c>
      <c r="L40" s="3">
        <v>203</v>
      </c>
      <c r="M40" s="3">
        <v>216</v>
      </c>
      <c r="N40" s="3">
        <v>177</v>
      </c>
      <c r="O40" s="3">
        <v>247</v>
      </c>
      <c r="P40" s="4">
        <f t="shared" si="1"/>
        <v>1502</v>
      </c>
      <c r="Q40" s="1"/>
    </row>
    <row r="41" spans="1:17" ht="13.5" x14ac:dyDescent="0.25">
      <c r="A41" s="1" t="str">
        <f t="shared" si="0"/>
        <v>BMW i8</v>
      </c>
      <c r="B41" s="1" t="s">
        <v>27</v>
      </c>
      <c r="C41" s="6" t="s">
        <v>81</v>
      </c>
      <c r="D41" s="3">
        <v>21</v>
      </c>
      <c r="E41" s="3">
        <v>28</v>
      </c>
      <c r="F41" s="3">
        <v>17</v>
      </c>
      <c r="G41" s="3">
        <v>9</v>
      </c>
      <c r="H41" s="3">
        <v>20</v>
      </c>
      <c r="I41" s="3">
        <v>21</v>
      </c>
      <c r="J41" s="3">
        <v>17</v>
      </c>
      <c r="K41" s="3">
        <v>15</v>
      </c>
      <c r="L41" s="3">
        <v>16</v>
      </c>
      <c r="M41" s="3">
        <v>9</v>
      </c>
      <c r="N41" s="3">
        <v>8</v>
      </c>
      <c r="O41" s="3">
        <v>11</v>
      </c>
      <c r="P41" s="4">
        <f t="shared" si="1"/>
        <v>192</v>
      </c>
      <c r="Q41" s="1"/>
    </row>
    <row r="42" spans="1:17" ht="13.5" x14ac:dyDescent="0.25">
      <c r="A42" s="1" t="str">
        <f t="shared" si="0"/>
        <v>BMW X1</v>
      </c>
      <c r="B42" s="1" t="s">
        <v>27</v>
      </c>
      <c r="C42" s="6" t="s">
        <v>82</v>
      </c>
      <c r="D42" s="3">
        <v>1342</v>
      </c>
      <c r="E42" s="3">
        <v>1738</v>
      </c>
      <c r="F42" s="3">
        <v>1053</v>
      </c>
      <c r="G42" s="3">
        <v>415</v>
      </c>
      <c r="H42" s="3">
        <v>923</v>
      </c>
      <c r="I42" s="3">
        <v>969</v>
      </c>
      <c r="J42" s="3">
        <v>1275</v>
      </c>
      <c r="K42" s="3">
        <v>1129</v>
      </c>
      <c r="L42" s="3">
        <v>1202</v>
      </c>
      <c r="M42" s="3">
        <v>1458</v>
      </c>
      <c r="N42" s="3">
        <v>1198</v>
      </c>
      <c r="O42" s="3">
        <v>1666</v>
      </c>
      <c r="P42" s="4">
        <f t="shared" si="1"/>
        <v>14368</v>
      </c>
      <c r="Q42" s="1"/>
    </row>
    <row r="43" spans="1:17" ht="13.5" x14ac:dyDescent="0.25">
      <c r="A43" s="1" t="str">
        <f t="shared" si="0"/>
        <v>BMW X2</v>
      </c>
      <c r="B43" s="1" t="s">
        <v>27</v>
      </c>
      <c r="C43" s="6" t="s">
        <v>83</v>
      </c>
      <c r="D43" s="3">
        <v>742</v>
      </c>
      <c r="E43" s="3">
        <v>961</v>
      </c>
      <c r="F43" s="3">
        <v>582</v>
      </c>
      <c r="G43" s="3">
        <v>318</v>
      </c>
      <c r="H43" s="3">
        <v>707</v>
      </c>
      <c r="I43" s="3">
        <v>743</v>
      </c>
      <c r="J43" s="3">
        <v>613</v>
      </c>
      <c r="K43" s="3">
        <v>543</v>
      </c>
      <c r="L43" s="3">
        <v>578</v>
      </c>
      <c r="M43" s="3">
        <v>533</v>
      </c>
      <c r="N43" s="3">
        <v>438</v>
      </c>
      <c r="O43" s="3">
        <v>610</v>
      </c>
      <c r="P43" s="4">
        <f t="shared" si="1"/>
        <v>7368</v>
      </c>
      <c r="Q43" s="1"/>
    </row>
    <row r="44" spans="1:17" ht="13.5" x14ac:dyDescent="0.25">
      <c r="A44" s="1" t="str">
        <f t="shared" si="0"/>
        <v>BMW X3</v>
      </c>
      <c r="B44" s="1" t="s">
        <v>27</v>
      </c>
      <c r="C44" s="6" t="s">
        <v>84</v>
      </c>
      <c r="D44" s="3">
        <v>3447</v>
      </c>
      <c r="E44" s="3">
        <v>4463</v>
      </c>
      <c r="F44" s="3">
        <v>2703</v>
      </c>
      <c r="G44" s="3">
        <v>1703</v>
      </c>
      <c r="H44" s="3">
        <v>3784</v>
      </c>
      <c r="I44" s="3">
        <v>3973</v>
      </c>
      <c r="J44" s="3">
        <v>5714</v>
      </c>
      <c r="K44" s="3">
        <v>5061</v>
      </c>
      <c r="L44" s="3">
        <v>5388</v>
      </c>
      <c r="M44" s="3">
        <v>7942</v>
      </c>
      <c r="N44" s="3">
        <v>6523</v>
      </c>
      <c r="O44" s="3">
        <v>9076</v>
      </c>
      <c r="P44" s="4">
        <f t="shared" si="1"/>
        <v>59777</v>
      </c>
      <c r="Q44" s="1"/>
    </row>
    <row r="45" spans="1:17" ht="13.5" x14ac:dyDescent="0.25">
      <c r="A45" s="1" t="str">
        <f t="shared" si="0"/>
        <v>BMW X4</v>
      </c>
      <c r="B45" s="1" t="s">
        <v>27</v>
      </c>
      <c r="C45" s="6" t="s">
        <v>85</v>
      </c>
      <c r="D45" s="3">
        <v>581</v>
      </c>
      <c r="E45" s="3">
        <v>752</v>
      </c>
      <c r="F45" s="3">
        <v>455</v>
      </c>
      <c r="G45" s="3">
        <v>247</v>
      </c>
      <c r="H45" s="3">
        <v>549</v>
      </c>
      <c r="I45" s="3">
        <v>577</v>
      </c>
      <c r="J45" s="3">
        <v>567</v>
      </c>
      <c r="K45" s="3">
        <v>502</v>
      </c>
      <c r="L45" s="3">
        <v>535</v>
      </c>
      <c r="M45" s="3">
        <v>977</v>
      </c>
      <c r="N45" s="3">
        <v>803</v>
      </c>
      <c r="O45" s="3">
        <v>1117</v>
      </c>
      <c r="P45" s="4">
        <f t="shared" si="1"/>
        <v>7662</v>
      </c>
      <c r="Q45" s="1"/>
    </row>
    <row r="46" spans="1:17" ht="13.5" x14ac:dyDescent="0.25">
      <c r="A46" s="1" t="str">
        <f t="shared" si="0"/>
        <v>BMW X5</v>
      </c>
      <c r="B46" s="1" t="s">
        <v>27</v>
      </c>
      <c r="C46" s="6" t="s">
        <v>86</v>
      </c>
      <c r="D46" s="3">
        <v>3455</v>
      </c>
      <c r="E46" s="3">
        <v>4473</v>
      </c>
      <c r="F46" s="3">
        <v>2709</v>
      </c>
      <c r="G46" s="3">
        <v>1533</v>
      </c>
      <c r="H46" s="3">
        <v>3407</v>
      </c>
      <c r="I46" s="3">
        <v>3577</v>
      </c>
      <c r="J46" s="3">
        <v>4491</v>
      </c>
      <c r="K46" s="3">
        <v>3977</v>
      </c>
      <c r="L46" s="3">
        <v>4234</v>
      </c>
      <c r="M46" s="3">
        <v>6294</v>
      </c>
      <c r="N46" s="3">
        <v>5170</v>
      </c>
      <c r="O46" s="3">
        <v>7193</v>
      </c>
      <c r="P46" s="4">
        <f t="shared" si="1"/>
        <v>50513</v>
      </c>
      <c r="Q46" s="1"/>
    </row>
    <row r="47" spans="1:17" ht="13.5" x14ac:dyDescent="0.25">
      <c r="A47" s="1" t="str">
        <f t="shared" si="0"/>
        <v>BMW X6</v>
      </c>
      <c r="B47" s="1" t="s">
        <v>27</v>
      </c>
      <c r="C47" s="6" t="s">
        <v>87</v>
      </c>
      <c r="D47" s="3">
        <v>406</v>
      </c>
      <c r="E47" s="3">
        <v>526</v>
      </c>
      <c r="F47" s="3">
        <v>319</v>
      </c>
      <c r="G47" s="3">
        <v>216</v>
      </c>
      <c r="H47" s="3">
        <v>480</v>
      </c>
      <c r="I47" s="3">
        <v>504</v>
      </c>
      <c r="J47" s="3">
        <v>698</v>
      </c>
      <c r="K47" s="3">
        <v>618</v>
      </c>
      <c r="L47" s="3">
        <v>658</v>
      </c>
      <c r="M47" s="3">
        <v>967</v>
      </c>
      <c r="N47" s="3">
        <v>794</v>
      </c>
      <c r="O47" s="3">
        <v>1105</v>
      </c>
      <c r="P47" s="4">
        <f t="shared" si="1"/>
        <v>7291</v>
      </c>
      <c r="Q47" s="1"/>
    </row>
    <row r="48" spans="1:17" ht="13.5" x14ac:dyDescent="0.25">
      <c r="A48" s="1" t="str">
        <f t="shared" si="0"/>
        <v>BMW X7</v>
      </c>
      <c r="B48" s="1" t="s">
        <v>27</v>
      </c>
      <c r="C48" s="6" t="s">
        <v>88</v>
      </c>
      <c r="D48" s="3">
        <v>4188</v>
      </c>
      <c r="E48" s="3">
        <v>1927</v>
      </c>
      <c r="F48" s="3">
        <v>1167</v>
      </c>
      <c r="G48" s="3">
        <v>733</v>
      </c>
      <c r="H48" s="3">
        <v>1628</v>
      </c>
      <c r="I48" s="3">
        <v>1710</v>
      </c>
      <c r="J48" s="3">
        <v>1709</v>
      </c>
      <c r="K48" s="3">
        <v>1513</v>
      </c>
      <c r="L48" s="3">
        <v>1611</v>
      </c>
      <c r="M48" s="3">
        <v>2376</v>
      </c>
      <c r="N48" s="3">
        <v>1952</v>
      </c>
      <c r="O48" s="3">
        <v>2716</v>
      </c>
      <c r="P48" s="4">
        <f t="shared" si="1"/>
        <v>23230</v>
      </c>
      <c r="Q48" s="1"/>
    </row>
    <row r="49" spans="1:17" ht="13.5" x14ac:dyDescent="0.25">
      <c r="A49" s="1" t="str">
        <f t="shared" si="0"/>
        <v>BMW Z4</v>
      </c>
      <c r="B49" s="1" t="s">
        <v>27</v>
      </c>
      <c r="C49" s="6" t="s">
        <v>89</v>
      </c>
      <c r="D49" s="3">
        <v>203</v>
      </c>
      <c r="E49" s="3">
        <v>263</v>
      </c>
      <c r="F49" s="3">
        <v>159</v>
      </c>
      <c r="G49" s="3">
        <v>149</v>
      </c>
      <c r="H49" s="3">
        <v>332</v>
      </c>
      <c r="I49" s="3">
        <v>349</v>
      </c>
      <c r="J49" s="3">
        <v>252</v>
      </c>
      <c r="K49" s="3">
        <v>223</v>
      </c>
      <c r="L49" s="3">
        <v>238</v>
      </c>
      <c r="M49" s="3">
        <v>66</v>
      </c>
      <c r="N49" s="3">
        <v>54</v>
      </c>
      <c r="O49" s="3">
        <v>76</v>
      </c>
      <c r="P49" s="4">
        <f t="shared" si="1"/>
        <v>2364</v>
      </c>
      <c r="Q49" s="1"/>
    </row>
    <row r="50" spans="1:17" ht="13.5" x14ac:dyDescent="0.25">
      <c r="A50" s="1" t="str">
        <f t="shared" si="0"/>
        <v>Buick Cascada</v>
      </c>
      <c r="B50" s="1" t="s">
        <v>28</v>
      </c>
      <c r="C50" s="6" t="s">
        <v>90</v>
      </c>
      <c r="D50" s="3">
        <v>2</v>
      </c>
      <c r="E50" s="3">
        <v>3</v>
      </c>
      <c r="F50" s="3">
        <v>2</v>
      </c>
      <c r="G50" s="3">
        <v>1</v>
      </c>
      <c r="H50" s="3">
        <v>2</v>
      </c>
      <c r="I50" s="3">
        <v>2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4">
        <f t="shared" si="1"/>
        <v>12</v>
      </c>
      <c r="Q50" s="1"/>
    </row>
    <row r="51" spans="1:17" ht="13.5" x14ac:dyDescent="0.25">
      <c r="A51" s="1" t="str">
        <f t="shared" si="0"/>
        <v>Buick Enclave</v>
      </c>
      <c r="B51" s="1" t="s">
        <v>28</v>
      </c>
      <c r="C51" s="6" t="s">
        <v>91</v>
      </c>
      <c r="D51" s="3">
        <v>2843</v>
      </c>
      <c r="E51" s="3">
        <v>3680</v>
      </c>
      <c r="F51" s="3">
        <v>2229</v>
      </c>
      <c r="G51" s="3">
        <v>1342</v>
      </c>
      <c r="H51" s="3">
        <v>2981</v>
      </c>
      <c r="I51" s="3">
        <v>3130</v>
      </c>
      <c r="J51" s="3">
        <v>3484</v>
      </c>
      <c r="K51" s="3">
        <v>3097</v>
      </c>
      <c r="L51" s="3">
        <v>3355</v>
      </c>
      <c r="M51" s="3">
        <v>4162</v>
      </c>
      <c r="N51" s="3">
        <v>3419</v>
      </c>
      <c r="O51" s="3">
        <v>4757</v>
      </c>
      <c r="P51" s="4">
        <f t="shared" si="1"/>
        <v>38479</v>
      </c>
      <c r="Q51" s="1"/>
    </row>
    <row r="52" spans="1:17" ht="13.5" x14ac:dyDescent="0.25">
      <c r="A52" s="1" t="str">
        <f t="shared" si="0"/>
        <v>Buick Encore</v>
      </c>
      <c r="B52" s="1" t="s">
        <v>28</v>
      </c>
      <c r="C52" s="6" t="s">
        <v>92</v>
      </c>
      <c r="D52" s="3">
        <v>5469</v>
      </c>
      <c r="E52" s="3">
        <v>7081</v>
      </c>
      <c r="F52" s="3">
        <v>4289</v>
      </c>
      <c r="G52" s="3">
        <v>1806</v>
      </c>
      <c r="H52" s="3">
        <v>4013</v>
      </c>
      <c r="I52" s="3">
        <v>4214</v>
      </c>
      <c r="J52" s="3">
        <v>3907</v>
      </c>
      <c r="K52" s="3">
        <v>3473</v>
      </c>
      <c r="L52" s="3">
        <v>3763</v>
      </c>
      <c r="M52" s="3">
        <v>2138</v>
      </c>
      <c r="N52" s="3">
        <v>1756</v>
      </c>
      <c r="O52" s="3">
        <v>2444</v>
      </c>
      <c r="P52" s="4">
        <f t="shared" si="1"/>
        <v>44353</v>
      </c>
      <c r="Q52" s="1"/>
    </row>
    <row r="53" spans="1:17" ht="13.5" x14ac:dyDescent="0.25">
      <c r="A53" s="1" t="str">
        <f t="shared" si="0"/>
        <v>Buick Encore GX</v>
      </c>
      <c r="B53" s="1" t="s">
        <v>28</v>
      </c>
      <c r="C53" s="6" t="s">
        <v>93</v>
      </c>
      <c r="D53" s="3">
        <v>0</v>
      </c>
      <c r="E53" s="3">
        <v>0</v>
      </c>
      <c r="F53" s="3">
        <v>0</v>
      </c>
      <c r="G53" s="3">
        <v>1666</v>
      </c>
      <c r="H53" s="3">
        <v>3702</v>
      </c>
      <c r="I53" s="3">
        <v>3888</v>
      </c>
      <c r="J53" s="3">
        <v>5617</v>
      </c>
      <c r="K53" s="3">
        <v>4993</v>
      </c>
      <c r="L53" s="3">
        <v>5409</v>
      </c>
      <c r="M53" s="3">
        <v>5723</v>
      </c>
      <c r="N53" s="3">
        <v>4701</v>
      </c>
      <c r="O53" s="3">
        <v>6541</v>
      </c>
      <c r="P53" s="4">
        <f t="shared" si="1"/>
        <v>42240</v>
      </c>
      <c r="Q53" s="1"/>
    </row>
    <row r="54" spans="1:17" ht="13.5" x14ac:dyDescent="0.25">
      <c r="A54" s="1" t="str">
        <f t="shared" si="0"/>
        <v>Buick Envision</v>
      </c>
      <c r="B54" s="1" t="s">
        <v>28</v>
      </c>
      <c r="C54" s="6" t="s">
        <v>94</v>
      </c>
      <c r="D54" s="3">
        <v>2252</v>
      </c>
      <c r="E54" s="3">
        <v>2915</v>
      </c>
      <c r="F54" s="3">
        <v>1766</v>
      </c>
      <c r="G54" s="3">
        <v>1419</v>
      </c>
      <c r="H54" s="3">
        <v>3152</v>
      </c>
      <c r="I54" s="3">
        <v>3310</v>
      </c>
      <c r="J54" s="3">
        <v>4087</v>
      </c>
      <c r="K54" s="3">
        <v>3633</v>
      </c>
      <c r="L54" s="3">
        <v>3935</v>
      </c>
      <c r="M54" s="3">
        <v>2859</v>
      </c>
      <c r="N54" s="3">
        <v>2348</v>
      </c>
      <c r="O54" s="3">
        <v>3267</v>
      </c>
      <c r="P54" s="4">
        <f t="shared" si="1"/>
        <v>34943</v>
      </c>
      <c r="Q54" s="1"/>
    </row>
    <row r="55" spans="1:17" ht="13.5" x14ac:dyDescent="0.25">
      <c r="A55" s="1" t="str">
        <f t="shared" si="0"/>
        <v>Buick LaCrosse</v>
      </c>
      <c r="B55" s="1" t="s">
        <v>28</v>
      </c>
      <c r="C55" s="6" t="s">
        <v>95</v>
      </c>
      <c r="D55" s="3">
        <v>45</v>
      </c>
      <c r="E55" s="3">
        <v>58</v>
      </c>
      <c r="F55" s="3">
        <v>35</v>
      </c>
      <c r="G55" s="3">
        <v>13</v>
      </c>
      <c r="H55" s="3">
        <v>28</v>
      </c>
      <c r="I55" s="3">
        <v>30</v>
      </c>
      <c r="J55" s="3">
        <v>2</v>
      </c>
      <c r="K55" s="3">
        <v>2</v>
      </c>
      <c r="L55" s="3">
        <v>2</v>
      </c>
      <c r="M55" s="3">
        <v>5</v>
      </c>
      <c r="N55" s="3">
        <v>4</v>
      </c>
      <c r="O55" s="3">
        <v>5</v>
      </c>
      <c r="P55" s="4">
        <f t="shared" si="1"/>
        <v>229</v>
      </c>
      <c r="Q55" s="1"/>
    </row>
    <row r="56" spans="1:17" ht="13.5" x14ac:dyDescent="0.25">
      <c r="A56" s="1" t="str">
        <f t="shared" si="0"/>
        <v>Buick Regal</v>
      </c>
      <c r="B56" s="1" t="s">
        <v>28</v>
      </c>
      <c r="C56" s="6" t="s">
        <v>96</v>
      </c>
      <c r="D56" s="3">
        <v>390</v>
      </c>
      <c r="E56" s="3">
        <v>505</v>
      </c>
      <c r="F56" s="3">
        <v>306</v>
      </c>
      <c r="G56" s="3">
        <v>148</v>
      </c>
      <c r="H56" s="3">
        <v>329</v>
      </c>
      <c r="I56" s="3">
        <v>345</v>
      </c>
      <c r="J56" s="3">
        <v>141</v>
      </c>
      <c r="K56" s="3">
        <v>135</v>
      </c>
      <c r="L56" s="3">
        <v>135</v>
      </c>
      <c r="M56" s="3">
        <v>20</v>
      </c>
      <c r="N56" s="3">
        <v>16</v>
      </c>
      <c r="O56" s="3">
        <v>23</v>
      </c>
      <c r="P56" s="4">
        <f t="shared" si="1"/>
        <v>2493</v>
      </c>
      <c r="Q56" s="1"/>
    </row>
    <row r="57" spans="1:17" ht="13.5" x14ac:dyDescent="0.25">
      <c r="A57" s="1" t="str">
        <f t="shared" si="0"/>
        <v>Cadillac ATS</v>
      </c>
      <c r="B57" s="1" t="s">
        <v>29</v>
      </c>
      <c r="C57" s="6" t="s">
        <v>97</v>
      </c>
      <c r="D57" s="3">
        <v>15</v>
      </c>
      <c r="E57" s="3">
        <v>20</v>
      </c>
      <c r="F57" s="3">
        <v>12</v>
      </c>
      <c r="G57" s="3">
        <v>8</v>
      </c>
      <c r="H57" s="3">
        <v>18</v>
      </c>
      <c r="I57" s="3">
        <v>19</v>
      </c>
      <c r="J57" s="3">
        <v>6</v>
      </c>
      <c r="K57" s="3">
        <v>5</v>
      </c>
      <c r="L57" s="3">
        <v>6</v>
      </c>
      <c r="M57" s="3">
        <v>2</v>
      </c>
      <c r="N57" s="3">
        <v>2</v>
      </c>
      <c r="O57" s="3">
        <v>2</v>
      </c>
      <c r="P57" s="4">
        <f t="shared" si="1"/>
        <v>115</v>
      </c>
      <c r="Q57" s="1"/>
    </row>
    <row r="58" spans="1:17" ht="13.5" x14ac:dyDescent="0.25">
      <c r="A58" s="1" t="str">
        <f t="shared" si="0"/>
        <v>Cadillac CT4</v>
      </c>
      <c r="B58" s="1" t="s">
        <v>29</v>
      </c>
      <c r="C58" s="6" t="s">
        <v>98</v>
      </c>
      <c r="D58" s="3">
        <v>13</v>
      </c>
      <c r="E58" s="3">
        <v>17</v>
      </c>
      <c r="F58" s="3">
        <v>10</v>
      </c>
      <c r="G58" s="3">
        <v>106</v>
      </c>
      <c r="H58" s="3">
        <v>236</v>
      </c>
      <c r="I58" s="3">
        <v>248</v>
      </c>
      <c r="J58" s="3">
        <v>539</v>
      </c>
      <c r="K58" s="3">
        <v>479</v>
      </c>
      <c r="L58" s="3">
        <v>519</v>
      </c>
      <c r="M58" s="3">
        <v>918</v>
      </c>
      <c r="N58" s="3">
        <v>754</v>
      </c>
      <c r="O58" s="3">
        <v>1049</v>
      </c>
      <c r="P58" s="4">
        <f t="shared" si="1"/>
        <v>4888</v>
      </c>
      <c r="Q58" s="1"/>
    </row>
    <row r="59" spans="1:17" ht="13.5" x14ac:dyDescent="0.25">
      <c r="A59" s="1" t="str">
        <f t="shared" si="0"/>
        <v>Cadillac CT5</v>
      </c>
      <c r="B59" s="1" t="s">
        <v>29</v>
      </c>
      <c r="C59" s="6" t="s">
        <v>99</v>
      </c>
      <c r="D59" s="3">
        <v>974</v>
      </c>
      <c r="E59" s="3">
        <v>1262</v>
      </c>
      <c r="F59" s="3">
        <v>764</v>
      </c>
      <c r="G59" s="3">
        <v>464</v>
      </c>
      <c r="H59" s="3">
        <v>1030</v>
      </c>
      <c r="I59" s="3">
        <v>1082</v>
      </c>
      <c r="J59" s="3">
        <v>1403</v>
      </c>
      <c r="K59" s="3">
        <v>1247</v>
      </c>
      <c r="L59" s="3">
        <v>1351</v>
      </c>
      <c r="M59" s="3">
        <v>1732</v>
      </c>
      <c r="N59" s="3">
        <v>1423</v>
      </c>
      <c r="O59" s="3">
        <v>1980</v>
      </c>
      <c r="P59" s="4">
        <f t="shared" si="1"/>
        <v>14712</v>
      </c>
      <c r="Q59" s="1"/>
    </row>
    <row r="60" spans="1:17" ht="13.5" x14ac:dyDescent="0.25">
      <c r="A60" s="1" t="str">
        <f t="shared" si="0"/>
        <v>Cadillac CT6</v>
      </c>
      <c r="B60" s="1" t="s">
        <v>29</v>
      </c>
      <c r="C60" s="6" t="s">
        <v>100</v>
      </c>
      <c r="D60" s="3">
        <v>560</v>
      </c>
      <c r="E60" s="3">
        <v>725</v>
      </c>
      <c r="F60" s="3">
        <v>439</v>
      </c>
      <c r="G60" s="3">
        <v>149</v>
      </c>
      <c r="H60" s="3">
        <v>330</v>
      </c>
      <c r="I60" s="3">
        <v>347</v>
      </c>
      <c r="J60" s="3">
        <v>148</v>
      </c>
      <c r="K60" s="3">
        <v>132</v>
      </c>
      <c r="L60" s="3">
        <v>142</v>
      </c>
      <c r="M60" s="3">
        <v>49</v>
      </c>
      <c r="N60" s="3">
        <v>40</v>
      </c>
      <c r="O60" s="3">
        <v>56</v>
      </c>
      <c r="P60" s="4">
        <f t="shared" si="1"/>
        <v>3117</v>
      </c>
      <c r="Q60" s="1"/>
    </row>
    <row r="61" spans="1:17" ht="13.5" x14ac:dyDescent="0.25">
      <c r="A61" s="1" t="str">
        <f t="shared" si="0"/>
        <v>Cadillac CTS</v>
      </c>
      <c r="B61" s="1" t="s">
        <v>29</v>
      </c>
      <c r="C61" s="6" t="s">
        <v>101</v>
      </c>
      <c r="D61" s="3">
        <v>52</v>
      </c>
      <c r="E61" s="3">
        <v>67</v>
      </c>
      <c r="F61" s="3">
        <v>41</v>
      </c>
      <c r="G61" s="3">
        <v>30</v>
      </c>
      <c r="H61" s="3">
        <v>67</v>
      </c>
      <c r="I61" s="3">
        <v>71</v>
      </c>
      <c r="J61" s="3">
        <v>52</v>
      </c>
      <c r="K61" s="3">
        <v>46</v>
      </c>
      <c r="L61" s="3">
        <v>50</v>
      </c>
      <c r="M61" s="3">
        <v>46</v>
      </c>
      <c r="N61" s="3">
        <v>37</v>
      </c>
      <c r="O61" s="3">
        <v>52</v>
      </c>
      <c r="P61" s="4">
        <f t="shared" si="1"/>
        <v>611</v>
      </c>
      <c r="Q61" s="1"/>
    </row>
    <row r="62" spans="1:17" ht="13.5" x14ac:dyDescent="0.25">
      <c r="A62" s="1" t="str">
        <f t="shared" si="0"/>
        <v>Cadillac Escalade</v>
      </c>
      <c r="B62" s="1" t="s">
        <v>29</v>
      </c>
      <c r="C62" s="6" t="s">
        <v>102</v>
      </c>
      <c r="D62" s="3">
        <v>1825</v>
      </c>
      <c r="E62" s="3">
        <v>2363</v>
      </c>
      <c r="F62" s="3">
        <v>1431</v>
      </c>
      <c r="G62" s="3">
        <v>888</v>
      </c>
      <c r="H62" s="3">
        <v>1974</v>
      </c>
      <c r="I62" s="3">
        <v>2073</v>
      </c>
      <c r="J62" s="3">
        <v>1591</v>
      </c>
      <c r="K62" s="3">
        <v>1414</v>
      </c>
      <c r="L62" s="3">
        <v>1532</v>
      </c>
      <c r="M62" s="3">
        <v>3189</v>
      </c>
      <c r="N62" s="3">
        <v>2620</v>
      </c>
      <c r="O62" s="3">
        <v>3645</v>
      </c>
      <c r="P62" s="4">
        <f t="shared" si="1"/>
        <v>24545</v>
      </c>
      <c r="Q62" s="1"/>
    </row>
    <row r="63" spans="1:17" ht="13.5" x14ac:dyDescent="0.25">
      <c r="A63" s="1" t="str">
        <f t="shared" si="0"/>
        <v>Cadillac XT4</v>
      </c>
      <c r="B63" s="1" t="s">
        <v>29</v>
      </c>
      <c r="C63" s="6" t="s">
        <v>103</v>
      </c>
      <c r="D63" s="3">
        <v>1677</v>
      </c>
      <c r="E63" s="3">
        <v>2171</v>
      </c>
      <c r="F63" s="3">
        <v>1315</v>
      </c>
      <c r="G63" s="3">
        <v>716</v>
      </c>
      <c r="H63" s="3">
        <v>1591</v>
      </c>
      <c r="I63" s="3">
        <v>1671</v>
      </c>
      <c r="J63" s="3">
        <v>2225</v>
      </c>
      <c r="K63" s="3">
        <v>1978</v>
      </c>
      <c r="L63" s="3">
        <v>2142</v>
      </c>
      <c r="M63" s="3">
        <v>2357</v>
      </c>
      <c r="N63" s="3">
        <v>1936</v>
      </c>
      <c r="O63" s="3">
        <v>2694</v>
      </c>
      <c r="P63" s="4">
        <f t="shared" si="1"/>
        <v>22473</v>
      </c>
      <c r="Q63" s="1"/>
    </row>
    <row r="64" spans="1:17" ht="13.5" x14ac:dyDescent="0.25">
      <c r="A64" s="1" t="str">
        <f t="shared" si="0"/>
        <v>Cadillac XT5</v>
      </c>
      <c r="B64" s="1" t="s">
        <v>29</v>
      </c>
      <c r="C64" s="6" t="s">
        <v>104</v>
      </c>
      <c r="D64" s="3">
        <v>2931</v>
      </c>
      <c r="E64" s="3">
        <v>3794</v>
      </c>
      <c r="F64" s="3">
        <v>2298</v>
      </c>
      <c r="G64" s="3">
        <v>1041</v>
      </c>
      <c r="H64" s="3">
        <v>2313</v>
      </c>
      <c r="I64" s="3">
        <v>2429</v>
      </c>
      <c r="J64" s="3">
        <v>3320</v>
      </c>
      <c r="K64" s="3">
        <v>2951</v>
      </c>
      <c r="L64" s="3">
        <v>3197</v>
      </c>
      <c r="M64" s="3">
        <v>3694</v>
      </c>
      <c r="N64" s="3">
        <v>3034</v>
      </c>
      <c r="O64" s="3">
        <v>4222</v>
      </c>
      <c r="P64" s="4">
        <f t="shared" si="1"/>
        <v>35224</v>
      </c>
      <c r="Q64" s="1"/>
    </row>
    <row r="65" spans="1:17" ht="13.5" x14ac:dyDescent="0.25">
      <c r="A65" s="1" t="str">
        <f t="shared" si="0"/>
        <v>Cadillac XT6</v>
      </c>
      <c r="B65" s="1" t="s">
        <v>29</v>
      </c>
      <c r="C65" s="6" t="s">
        <v>105</v>
      </c>
      <c r="D65" s="3">
        <v>1648</v>
      </c>
      <c r="E65" s="3">
        <v>2134</v>
      </c>
      <c r="F65" s="3">
        <v>1292</v>
      </c>
      <c r="G65" s="3">
        <v>744</v>
      </c>
      <c r="H65" s="3">
        <v>1652</v>
      </c>
      <c r="I65" s="3">
        <v>1735</v>
      </c>
      <c r="J65" s="3">
        <v>2191</v>
      </c>
      <c r="K65" s="3">
        <v>1948</v>
      </c>
      <c r="L65" s="3">
        <v>2110</v>
      </c>
      <c r="M65" s="3">
        <v>2414</v>
      </c>
      <c r="N65" s="3">
        <v>1983</v>
      </c>
      <c r="O65" s="3">
        <v>2759</v>
      </c>
      <c r="P65" s="4">
        <f t="shared" si="1"/>
        <v>22610</v>
      </c>
      <c r="Q65" s="1"/>
    </row>
    <row r="66" spans="1:17" ht="13.5" x14ac:dyDescent="0.25">
      <c r="A66" s="1" t="str">
        <f t="shared" si="0"/>
        <v>Cadillac XTS</v>
      </c>
      <c r="B66" s="1" t="s">
        <v>29</v>
      </c>
      <c r="C66" s="6" t="s">
        <v>106</v>
      </c>
      <c r="D66" s="3">
        <v>154</v>
      </c>
      <c r="E66" s="3">
        <v>199</v>
      </c>
      <c r="F66" s="3">
        <v>120</v>
      </c>
      <c r="G66" s="3">
        <v>48</v>
      </c>
      <c r="H66" s="3">
        <v>106</v>
      </c>
      <c r="I66" s="3">
        <v>111</v>
      </c>
      <c r="J66" s="3">
        <v>85</v>
      </c>
      <c r="K66" s="3">
        <v>75</v>
      </c>
      <c r="L66" s="3">
        <v>82</v>
      </c>
      <c r="M66" s="3">
        <v>74</v>
      </c>
      <c r="N66" s="3">
        <v>61</v>
      </c>
      <c r="O66" s="3">
        <v>85</v>
      </c>
      <c r="P66" s="4">
        <f t="shared" si="1"/>
        <v>1200</v>
      </c>
      <c r="Q66" s="1"/>
    </row>
    <row r="67" spans="1:17" ht="13.5" x14ac:dyDescent="0.25">
      <c r="A67" s="1" t="str">
        <f t="shared" si="0"/>
        <v>Chevrolet Blazer</v>
      </c>
      <c r="B67" s="1" t="s">
        <v>30</v>
      </c>
      <c r="C67" s="6" t="s">
        <v>107</v>
      </c>
      <c r="D67" s="3">
        <v>7192</v>
      </c>
      <c r="E67" s="3">
        <v>9312</v>
      </c>
      <c r="F67" s="3">
        <v>5640</v>
      </c>
      <c r="G67" s="3">
        <v>3551</v>
      </c>
      <c r="H67" s="3">
        <v>7890</v>
      </c>
      <c r="I67" s="3">
        <v>8285</v>
      </c>
      <c r="J67" s="3">
        <v>10339</v>
      </c>
      <c r="K67" s="3">
        <v>9190</v>
      </c>
      <c r="L67" s="3">
        <v>9956</v>
      </c>
      <c r="M67" s="3">
        <v>7841</v>
      </c>
      <c r="N67" s="3">
        <v>6441</v>
      </c>
      <c r="O67" s="3">
        <v>8961</v>
      </c>
      <c r="P67" s="4">
        <f t="shared" si="1"/>
        <v>94598</v>
      </c>
      <c r="Q67" s="1"/>
    </row>
    <row r="68" spans="1:17" ht="13.5" x14ac:dyDescent="0.25">
      <c r="A68" s="1" t="str">
        <f t="shared" si="0"/>
        <v>Chevrolet Bolt</v>
      </c>
      <c r="B68" s="1" t="s">
        <v>30</v>
      </c>
      <c r="C68" s="6" t="s">
        <v>108</v>
      </c>
      <c r="D68" s="3">
        <v>1908</v>
      </c>
      <c r="E68" s="3">
        <v>2470</v>
      </c>
      <c r="F68" s="3">
        <v>1496</v>
      </c>
      <c r="G68" s="3">
        <v>449</v>
      </c>
      <c r="H68" s="3">
        <v>998</v>
      </c>
      <c r="I68" s="3">
        <v>1048</v>
      </c>
      <c r="J68" s="3">
        <v>1992</v>
      </c>
      <c r="K68" s="3">
        <v>1771</v>
      </c>
      <c r="L68" s="3">
        <v>1919</v>
      </c>
      <c r="M68" s="3">
        <v>2261</v>
      </c>
      <c r="N68" s="3">
        <v>1857</v>
      </c>
      <c r="O68" s="3">
        <v>2584</v>
      </c>
      <c r="P68" s="4">
        <f t="shared" si="1"/>
        <v>20753</v>
      </c>
      <c r="Q68" s="1"/>
    </row>
    <row r="69" spans="1:17" ht="13.5" x14ac:dyDescent="0.25">
      <c r="A69" s="1" t="str">
        <f t="shared" si="0"/>
        <v>Chevrolet Camaro</v>
      </c>
      <c r="B69" s="1" t="s">
        <v>30</v>
      </c>
      <c r="C69" s="6" t="s">
        <v>109</v>
      </c>
      <c r="D69" s="3">
        <v>2334</v>
      </c>
      <c r="E69" s="3">
        <v>3021</v>
      </c>
      <c r="F69" s="3">
        <v>1830</v>
      </c>
      <c r="G69" s="3">
        <v>1202</v>
      </c>
      <c r="H69" s="3">
        <v>2670</v>
      </c>
      <c r="I69" s="3">
        <v>2804</v>
      </c>
      <c r="J69" s="3">
        <v>2934</v>
      </c>
      <c r="K69" s="3">
        <v>2608</v>
      </c>
      <c r="L69" s="3">
        <v>2825</v>
      </c>
      <c r="M69" s="3">
        <v>2547</v>
      </c>
      <c r="N69" s="3">
        <v>2092</v>
      </c>
      <c r="O69" s="3">
        <v>2910</v>
      </c>
      <c r="P69" s="4">
        <f t="shared" si="1"/>
        <v>29777</v>
      </c>
      <c r="Q69" s="1"/>
    </row>
    <row r="70" spans="1:17" ht="13.5" x14ac:dyDescent="0.25">
      <c r="A70" s="1" t="str">
        <f t="shared" si="0"/>
        <v>Chevrolet Colorado</v>
      </c>
      <c r="B70" s="1" t="s">
        <v>30</v>
      </c>
      <c r="C70" s="6" t="s">
        <v>110</v>
      </c>
      <c r="D70" s="3">
        <v>6960</v>
      </c>
      <c r="E70" s="3">
        <v>9011</v>
      </c>
      <c r="F70" s="3">
        <v>5458</v>
      </c>
      <c r="G70" s="3">
        <v>3572</v>
      </c>
      <c r="H70" s="3">
        <v>7937</v>
      </c>
      <c r="I70" s="3">
        <v>8334</v>
      </c>
      <c r="J70" s="3">
        <v>9557</v>
      </c>
      <c r="K70" s="3">
        <v>8495</v>
      </c>
      <c r="L70" s="3">
        <v>9203</v>
      </c>
      <c r="M70" s="3">
        <v>9348</v>
      </c>
      <c r="N70" s="3">
        <v>7678</v>
      </c>
      <c r="O70" s="3">
        <v>10683</v>
      </c>
      <c r="P70" s="4">
        <f t="shared" si="1"/>
        <v>96236</v>
      </c>
      <c r="Q70" s="1"/>
    </row>
    <row r="71" spans="1:17" ht="13.5" x14ac:dyDescent="0.25">
      <c r="A71" s="1" t="str">
        <f t="shared" si="0"/>
        <v>Chevrolet Corvette</v>
      </c>
      <c r="B71" s="1" t="s">
        <v>30</v>
      </c>
      <c r="C71" s="6" t="s">
        <v>111</v>
      </c>
      <c r="D71" s="3">
        <v>1241</v>
      </c>
      <c r="E71" s="3">
        <v>1606</v>
      </c>
      <c r="F71" s="3">
        <v>973</v>
      </c>
      <c r="G71" s="3">
        <v>443</v>
      </c>
      <c r="H71" s="3">
        <v>984</v>
      </c>
      <c r="I71" s="3">
        <v>1033</v>
      </c>
      <c r="J71" s="3">
        <v>2228</v>
      </c>
      <c r="K71" s="3">
        <v>1981</v>
      </c>
      <c r="L71" s="3">
        <v>2146</v>
      </c>
      <c r="M71" s="3">
        <v>3033</v>
      </c>
      <c r="N71" s="3">
        <v>2492</v>
      </c>
      <c r="O71" s="3">
        <v>3467</v>
      </c>
      <c r="P71" s="4">
        <f t="shared" si="1"/>
        <v>21627</v>
      </c>
      <c r="Q71" s="1"/>
    </row>
    <row r="72" spans="1:17" ht="13.5" x14ac:dyDescent="0.25">
      <c r="A72" s="1" t="str">
        <f t="shared" si="0"/>
        <v>Chevrolet Cruze</v>
      </c>
      <c r="B72" s="1" t="s">
        <v>30</v>
      </c>
      <c r="C72" s="6" t="s">
        <v>112</v>
      </c>
      <c r="D72" s="3">
        <v>132</v>
      </c>
      <c r="E72" s="3">
        <v>170</v>
      </c>
      <c r="F72" s="3">
        <v>103</v>
      </c>
      <c r="G72" s="3">
        <v>50</v>
      </c>
      <c r="H72" s="3">
        <v>111</v>
      </c>
      <c r="I72" s="3">
        <v>116</v>
      </c>
      <c r="J72" s="3">
        <v>25</v>
      </c>
      <c r="K72" s="3">
        <v>22</v>
      </c>
      <c r="L72" s="3">
        <v>24</v>
      </c>
      <c r="M72" s="3">
        <v>10</v>
      </c>
      <c r="N72" s="3">
        <v>8</v>
      </c>
      <c r="O72" s="3">
        <v>12</v>
      </c>
      <c r="P72" s="4">
        <f t="shared" si="1"/>
        <v>783</v>
      </c>
      <c r="Q72" s="1"/>
    </row>
    <row r="73" spans="1:17" ht="13.5" x14ac:dyDescent="0.25">
      <c r="A73" s="1" t="str">
        <f t="shared" si="0"/>
        <v>Chevrolet Equinox</v>
      </c>
      <c r="B73" s="1" t="s">
        <v>30</v>
      </c>
      <c r="C73" s="6" t="s">
        <v>113</v>
      </c>
      <c r="D73" s="3">
        <v>23858</v>
      </c>
      <c r="E73" s="3">
        <v>30887</v>
      </c>
      <c r="F73" s="3">
        <v>18708</v>
      </c>
      <c r="G73" s="3">
        <v>9144</v>
      </c>
      <c r="H73" s="3">
        <v>20319</v>
      </c>
      <c r="I73" s="3">
        <v>21335</v>
      </c>
      <c r="J73" s="3">
        <v>23660</v>
      </c>
      <c r="K73" s="3">
        <v>21031</v>
      </c>
      <c r="L73" s="3">
        <v>22784</v>
      </c>
      <c r="M73" s="3">
        <v>26741</v>
      </c>
      <c r="N73" s="3">
        <v>21966</v>
      </c>
      <c r="O73" s="3">
        <v>30561</v>
      </c>
      <c r="P73" s="4">
        <f t="shared" si="1"/>
        <v>270994</v>
      </c>
      <c r="Q73" s="1"/>
    </row>
    <row r="74" spans="1:17" ht="13.5" x14ac:dyDescent="0.25">
      <c r="A74" s="1" t="str">
        <f t="shared" si="0"/>
        <v>Chevrolet Express</v>
      </c>
      <c r="B74" s="1" t="s">
        <v>30</v>
      </c>
      <c r="C74" s="6" t="s">
        <v>114</v>
      </c>
      <c r="D74" s="3">
        <v>4323</v>
      </c>
      <c r="E74" s="3">
        <v>5596</v>
      </c>
      <c r="F74" s="3">
        <v>3390</v>
      </c>
      <c r="G74" s="3">
        <v>1621</v>
      </c>
      <c r="H74" s="3">
        <v>3602</v>
      </c>
      <c r="I74" s="3">
        <v>3783</v>
      </c>
      <c r="J74" s="3">
        <v>5184</v>
      </c>
      <c r="K74" s="3">
        <v>4608</v>
      </c>
      <c r="L74" s="3">
        <v>4992</v>
      </c>
      <c r="M74" s="3">
        <v>6052</v>
      </c>
      <c r="N74" s="3">
        <v>4972</v>
      </c>
      <c r="O74" s="3">
        <v>6917</v>
      </c>
      <c r="P74" s="4">
        <f t="shared" si="1"/>
        <v>55040</v>
      </c>
      <c r="Q74" s="1"/>
    </row>
    <row r="75" spans="1:17" ht="13.5" x14ac:dyDescent="0.25">
      <c r="A75" s="1" t="str">
        <f t="shared" ref="A75:A138" si="2">CONCATENATE(B75," ",C75)</f>
        <v>Chevrolet Impala</v>
      </c>
      <c r="B75" s="1" t="s">
        <v>30</v>
      </c>
      <c r="C75" s="6" t="s">
        <v>115</v>
      </c>
      <c r="D75" s="3">
        <v>1613</v>
      </c>
      <c r="E75" s="3">
        <v>2088</v>
      </c>
      <c r="F75" s="3">
        <v>1265</v>
      </c>
      <c r="G75" s="3">
        <v>366</v>
      </c>
      <c r="H75" s="3">
        <v>813</v>
      </c>
      <c r="I75" s="3">
        <v>854</v>
      </c>
      <c r="J75" s="3">
        <v>672</v>
      </c>
      <c r="K75" s="3">
        <v>597</v>
      </c>
      <c r="L75" s="3">
        <v>647</v>
      </c>
      <c r="M75" s="3">
        <v>347</v>
      </c>
      <c r="N75" s="3">
        <v>285</v>
      </c>
      <c r="O75" s="3">
        <v>396</v>
      </c>
      <c r="P75" s="4">
        <f t="shared" ref="P75:P138" si="3">SUM(D75:O75)</f>
        <v>9943</v>
      </c>
      <c r="Q75" s="1"/>
    </row>
    <row r="76" spans="1:17" ht="13.5" x14ac:dyDescent="0.25">
      <c r="A76" s="1" t="str">
        <f t="shared" si="2"/>
        <v>Chevrolet Malibu</v>
      </c>
      <c r="B76" s="1" t="s">
        <v>30</v>
      </c>
      <c r="C76" s="6" t="s">
        <v>116</v>
      </c>
      <c r="D76" s="3">
        <v>11460</v>
      </c>
      <c r="E76" s="3">
        <v>14837</v>
      </c>
      <c r="F76" s="3">
        <v>8987</v>
      </c>
      <c r="G76" s="3">
        <v>2279</v>
      </c>
      <c r="H76" s="3">
        <v>5064</v>
      </c>
      <c r="I76" s="3">
        <v>5318</v>
      </c>
      <c r="J76" s="3">
        <v>8926</v>
      </c>
      <c r="K76" s="3">
        <v>7934</v>
      </c>
      <c r="L76" s="3">
        <v>8595</v>
      </c>
      <c r="M76" s="3">
        <v>9868</v>
      </c>
      <c r="N76" s="3">
        <v>8106</v>
      </c>
      <c r="O76" s="3">
        <v>11278</v>
      </c>
      <c r="P76" s="4">
        <f t="shared" si="3"/>
        <v>102652</v>
      </c>
      <c r="Q76" s="1"/>
    </row>
    <row r="77" spans="1:17" ht="13.5" x14ac:dyDescent="0.25">
      <c r="A77" s="1" t="str">
        <f t="shared" si="2"/>
        <v>Chevrolet Silverado</v>
      </c>
      <c r="B77" s="1" t="s">
        <v>30</v>
      </c>
      <c r="C77" s="6" t="s">
        <v>117</v>
      </c>
      <c r="D77" s="3">
        <v>46673</v>
      </c>
      <c r="E77" s="3">
        <v>60425</v>
      </c>
      <c r="F77" s="3">
        <v>36600</v>
      </c>
      <c r="G77" s="3">
        <v>22038</v>
      </c>
      <c r="H77" s="3">
        <v>48973</v>
      </c>
      <c r="I77" s="3">
        <v>51421</v>
      </c>
      <c r="J77" s="3">
        <v>51715</v>
      </c>
      <c r="K77" s="3">
        <v>45969</v>
      </c>
      <c r="L77" s="3">
        <v>49800</v>
      </c>
      <c r="M77" s="3">
        <v>60535</v>
      </c>
      <c r="N77" s="3">
        <v>49725</v>
      </c>
      <c r="O77" s="3">
        <v>69183</v>
      </c>
      <c r="P77" s="4">
        <f t="shared" si="3"/>
        <v>593057</v>
      </c>
      <c r="Q77" s="1"/>
    </row>
    <row r="78" spans="1:17" ht="13.5" x14ac:dyDescent="0.25">
      <c r="A78" s="1" t="str">
        <f t="shared" si="2"/>
        <v>Chevrolet Sonic</v>
      </c>
      <c r="B78" s="1" t="s">
        <v>30</v>
      </c>
      <c r="C78" s="6" t="s">
        <v>118</v>
      </c>
      <c r="D78" s="3">
        <v>1410</v>
      </c>
      <c r="E78" s="3">
        <v>1825</v>
      </c>
      <c r="F78" s="3">
        <v>1106</v>
      </c>
      <c r="G78" s="3">
        <v>380</v>
      </c>
      <c r="H78" s="3">
        <v>844</v>
      </c>
      <c r="I78" s="3">
        <v>887</v>
      </c>
      <c r="J78" s="3">
        <v>1524</v>
      </c>
      <c r="K78" s="3">
        <v>1355</v>
      </c>
      <c r="L78" s="3">
        <v>1468</v>
      </c>
      <c r="M78" s="3">
        <v>745</v>
      </c>
      <c r="N78" s="3">
        <v>612</v>
      </c>
      <c r="O78" s="3">
        <v>851</v>
      </c>
      <c r="P78" s="4">
        <f t="shared" si="3"/>
        <v>13007</v>
      </c>
      <c r="Q78" s="1"/>
    </row>
    <row r="79" spans="1:17" ht="13.5" x14ac:dyDescent="0.25">
      <c r="A79" s="1" t="str">
        <f t="shared" si="2"/>
        <v>Chevrolet Spark</v>
      </c>
      <c r="B79" s="1" t="s">
        <v>30</v>
      </c>
      <c r="C79" s="6" t="s">
        <v>119</v>
      </c>
      <c r="D79" s="3">
        <v>3038</v>
      </c>
      <c r="E79" s="3">
        <v>3933</v>
      </c>
      <c r="F79" s="3">
        <v>2382</v>
      </c>
      <c r="G79" s="3">
        <v>956</v>
      </c>
      <c r="H79" s="3">
        <v>2124</v>
      </c>
      <c r="I79" s="3">
        <v>2231</v>
      </c>
      <c r="J79" s="3">
        <v>2936</v>
      </c>
      <c r="K79" s="3">
        <v>2610</v>
      </c>
      <c r="L79" s="3">
        <v>2827</v>
      </c>
      <c r="M79" s="3">
        <v>3523</v>
      </c>
      <c r="N79" s="3">
        <v>2894</v>
      </c>
      <c r="O79" s="3">
        <v>4026</v>
      </c>
      <c r="P79" s="4">
        <f t="shared" si="3"/>
        <v>33480</v>
      </c>
      <c r="Q79" s="1"/>
    </row>
    <row r="80" spans="1:17" ht="13.5" x14ac:dyDescent="0.25">
      <c r="A80" s="1" t="str">
        <f t="shared" si="2"/>
        <v>Chevrolet Suburban</v>
      </c>
      <c r="B80" s="1" t="s">
        <v>30</v>
      </c>
      <c r="C80" s="6" t="s">
        <v>120</v>
      </c>
      <c r="D80" s="3">
        <v>3084</v>
      </c>
      <c r="E80" s="3">
        <v>0</v>
      </c>
      <c r="F80" s="3">
        <v>2418</v>
      </c>
      <c r="G80" s="3">
        <v>1263</v>
      </c>
      <c r="H80" s="3">
        <v>2806</v>
      </c>
      <c r="I80" s="3">
        <v>2947</v>
      </c>
      <c r="J80" s="3">
        <v>2647</v>
      </c>
      <c r="K80" s="3">
        <v>2353</v>
      </c>
      <c r="L80" s="3">
        <v>2549</v>
      </c>
      <c r="M80" s="3">
        <v>4580</v>
      </c>
      <c r="N80" s="3">
        <v>3762</v>
      </c>
      <c r="O80" s="3">
        <v>5235</v>
      </c>
      <c r="P80" s="4">
        <f t="shared" si="3"/>
        <v>33644</v>
      </c>
      <c r="Q80" s="1"/>
    </row>
    <row r="81" spans="1:17" ht="13.5" x14ac:dyDescent="0.25">
      <c r="A81" s="1" t="str">
        <f t="shared" si="2"/>
        <v>Chevrolet Tahoe</v>
      </c>
      <c r="B81" s="1" t="s">
        <v>30</v>
      </c>
      <c r="C81" s="6" t="s">
        <v>121</v>
      </c>
      <c r="D81" s="3">
        <v>6627</v>
      </c>
      <c r="E81" s="3">
        <v>8579</v>
      </c>
      <c r="F81" s="3">
        <v>5197</v>
      </c>
      <c r="G81" s="3">
        <v>2883</v>
      </c>
      <c r="H81" s="3">
        <v>6406</v>
      </c>
      <c r="I81" s="3">
        <v>6727</v>
      </c>
      <c r="J81" s="3">
        <v>8107</v>
      </c>
      <c r="K81" s="3">
        <v>7207</v>
      </c>
      <c r="L81" s="3">
        <v>7807</v>
      </c>
      <c r="M81" s="3">
        <v>9681</v>
      </c>
      <c r="N81" s="3">
        <v>7952</v>
      </c>
      <c r="O81" s="3">
        <v>11064</v>
      </c>
      <c r="P81" s="4">
        <f t="shared" si="3"/>
        <v>88237</v>
      </c>
      <c r="Q81" s="1"/>
    </row>
    <row r="82" spans="1:17" ht="13.5" x14ac:dyDescent="0.25">
      <c r="A82" s="1" t="str">
        <f t="shared" si="2"/>
        <v>Chevrolet TrailBlazer</v>
      </c>
      <c r="B82" s="1" t="s">
        <v>30</v>
      </c>
      <c r="C82" s="6" t="s">
        <v>122</v>
      </c>
      <c r="D82" s="3">
        <v>1</v>
      </c>
      <c r="E82" s="3">
        <v>1</v>
      </c>
      <c r="F82" s="3">
        <v>1</v>
      </c>
      <c r="G82" s="3">
        <v>1206</v>
      </c>
      <c r="H82" s="3">
        <v>2680</v>
      </c>
      <c r="I82" s="3">
        <v>2814</v>
      </c>
      <c r="J82" s="3">
        <v>3619</v>
      </c>
      <c r="K82" s="3">
        <v>3217</v>
      </c>
      <c r="L82" s="3">
        <v>3485</v>
      </c>
      <c r="M82" s="3">
        <v>5825</v>
      </c>
      <c r="N82" s="3">
        <v>4785</v>
      </c>
      <c r="O82" s="3">
        <v>6658</v>
      </c>
      <c r="P82" s="4">
        <f t="shared" si="3"/>
        <v>34292</v>
      </c>
      <c r="Q82" s="1"/>
    </row>
    <row r="83" spans="1:17" ht="13.5" x14ac:dyDescent="0.25">
      <c r="A83" s="1" t="str">
        <f t="shared" si="2"/>
        <v>Chevrolet Traverse</v>
      </c>
      <c r="B83" s="1" t="s">
        <v>30</v>
      </c>
      <c r="C83" s="6" t="s">
        <v>123</v>
      </c>
      <c r="D83" s="3">
        <v>9775</v>
      </c>
      <c r="E83" s="3">
        <v>12655</v>
      </c>
      <c r="F83" s="3">
        <v>7665</v>
      </c>
      <c r="G83" s="3">
        <v>4017</v>
      </c>
      <c r="H83" s="3">
        <v>8926</v>
      </c>
      <c r="I83" s="3">
        <v>9372</v>
      </c>
      <c r="J83" s="3">
        <v>11082</v>
      </c>
      <c r="K83" s="3">
        <v>9850</v>
      </c>
      <c r="L83" s="3">
        <v>10671</v>
      </c>
      <c r="M83" s="3">
        <v>14011</v>
      </c>
      <c r="N83" s="3">
        <v>11509</v>
      </c>
      <c r="O83" s="3">
        <v>16013</v>
      </c>
      <c r="P83" s="4">
        <f t="shared" si="3"/>
        <v>125546</v>
      </c>
      <c r="Q83" s="1"/>
    </row>
    <row r="84" spans="1:17" ht="13.5" x14ac:dyDescent="0.25">
      <c r="A84" s="1" t="str">
        <f t="shared" si="2"/>
        <v>Chevrolet Trax</v>
      </c>
      <c r="B84" s="1" t="s">
        <v>30</v>
      </c>
      <c r="C84" s="6" t="s">
        <v>124</v>
      </c>
      <c r="D84" s="3">
        <v>9173</v>
      </c>
      <c r="E84" s="3">
        <v>11876</v>
      </c>
      <c r="F84" s="3">
        <v>7193</v>
      </c>
      <c r="G84" s="3">
        <v>4044</v>
      </c>
      <c r="H84" s="3">
        <v>8986</v>
      </c>
      <c r="I84" s="3">
        <v>9436</v>
      </c>
      <c r="J84" s="3">
        <v>10339</v>
      </c>
      <c r="K84" s="3">
        <v>9190</v>
      </c>
      <c r="L84" s="3">
        <v>9956</v>
      </c>
      <c r="M84" s="3">
        <v>8807</v>
      </c>
      <c r="N84" s="3">
        <v>7234</v>
      </c>
      <c r="O84" s="3">
        <v>10065</v>
      </c>
      <c r="P84" s="4">
        <f t="shared" si="3"/>
        <v>106299</v>
      </c>
      <c r="Q84" s="1"/>
    </row>
    <row r="85" spans="1:17" ht="13.5" x14ac:dyDescent="0.25">
      <c r="A85" s="1" t="str">
        <f t="shared" si="2"/>
        <v>Chevrolet Volt</v>
      </c>
      <c r="B85" s="1" t="s">
        <v>30</v>
      </c>
      <c r="C85" s="6" t="s">
        <v>125</v>
      </c>
      <c r="D85" s="3">
        <v>7</v>
      </c>
      <c r="E85" s="3">
        <v>10</v>
      </c>
      <c r="F85" s="3">
        <v>6</v>
      </c>
      <c r="G85" s="3">
        <v>7</v>
      </c>
      <c r="H85" s="3">
        <v>16</v>
      </c>
      <c r="I85" s="3">
        <v>16</v>
      </c>
      <c r="J85" s="3">
        <v>2</v>
      </c>
      <c r="K85" s="3">
        <v>2</v>
      </c>
      <c r="L85" s="3">
        <v>2</v>
      </c>
      <c r="M85" s="3">
        <v>0</v>
      </c>
      <c r="N85" s="3">
        <v>0</v>
      </c>
      <c r="O85" s="3">
        <v>0</v>
      </c>
      <c r="P85" s="4">
        <f t="shared" si="3"/>
        <v>68</v>
      </c>
      <c r="Q85" s="1"/>
    </row>
    <row r="86" spans="1:17" ht="13.5" x14ac:dyDescent="0.25">
      <c r="A86" s="1" t="str">
        <f t="shared" si="2"/>
        <v>Chrysler 200</v>
      </c>
      <c r="B86" s="1" t="s">
        <v>31</v>
      </c>
      <c r="C86" s="6">
        <v>200</v>
      </c>
      <c r="D86" s="3">
        <v>1</v>
      </c>
      <c r="E86" s="3">
        <v>1</v>
      </c>
      <c r="F86" s="3">
        <v>1</v>
      </c>
      <c r="G86" s="3">
        <v>0</v>
      </c>
      <c r="H86" s="3">
        <v>0</v>
      </c>
      <c r="I86" s="3">
        <v>0</v>
      </c>
      <c r="J86" s="3">
        <v>1</v>
      </c>
      <c r="K86" s="3">
        <v>1</v>
      </c>
      <c r="L86" s="3">
        <v>1</v>
      </c>
      <c r="M86" s="3">
        <v>1</v>
      </c>
      <c r="N86" s="3">
        <v>1</v>
      </c>
      <c r="O86" s="3">
        <v>1</v>
      </c>
      <c r="P86" s="4">
        <f t="shared" si="3"/>
        <v>9</v>
      </c>
      <c r="Q86" s="1"/>
    </row>
    <row r="87" spans="1:17" ht="13.5" x14ac:dyDescent="0.25">
      <c r="A87" s="1" t="str">
        <f t="shared" si="2"/>
        <v>Chrysler 300</v>
      </c>
      <c r="B87" s="1" t="s">
        <v>31</v>
      </c>
      <c r="C87" s="6">
        <v>300</v>
      </c>
      <c r="D87" s="3">
        <v>1818</v>
      </c>
      <c r="E87" s="3">
        <v>2353</v>
      </c>
      <c r="F87" s="3">
        <v>1245</v>
      </c>
      <c r="G87" s="3">
        <v>502</v>
      </c>
      <c r="H87" s="3">
        <v>1115</v>
      </c>
      <c r="I87" s="3">
        <v>1171</v>
      </c>
      <c r="J87" s="3">
        <v>1112</v>
      </c>
      <c r="K87" s="3">
        <v>988</v>
      </c>
      <c r="L87" s="3">
        <v>1070</v>
      </c>
      <c r="M87" s="3">
        <v>1720</v>
      </c>
      <c r="N87" s="3">
        <v>1413</v>
      </c>
      <c r="O87" s="3">
        <v>1966</v>
      </c>
      <c r="P87" s="4">
        <f t="shared" si="3"/>
        <v>16473</v>
      </c>
      <c r="Q87" s="1"/>
    </row>
    <row r="88" spans="1:17" ht="13.5" x14ac:dyDescent="0.25">
      <c r="A88" s="1" t="str">
        <f t="shared" si="2"/>
        <v>Chrysler Pacifica</v>
      </c>
      <c r="B88" s="1" t="s">
        <v>31</v>
      </c>
      <c r="C88" s="6" t="s">
        <v>126</v>
      </c>
      <c r="D88" s="3">
        <v>7966</v>
      </c>
      <c r="E88" s="3">
        <v>10313</v>
      </c>
      <c r="F88" s="3">
        <v>6247</v>
      </c>
      <c r="G88" s="3">
        <v>1992</v>
      </c>
      <c r="H88" s="3">
        <v>4428</v>
      </c>
      <c r="I88" s="3">
        <v>4649</v>
      </c>
      <c r="J88" s="3">
        <v>10062</v>
      </c>
      <c r="K88" s="3">
        <v>8944</v>
      </c>
      <c r="L88" s="3">
        <v>0</v>
      </c>
      <c r="M88" s="3">
        <v>9956</v>
      </c>
      <c r="N88" s="3">
        <v>8178</v>
      </c>
      <c r="O88" s="3">
        <v>11378</v>
      </c>
      <c r="P88" s="4">
        <f t="shared" si="3"/>
        <v>84113</v>
      </c>
      <c r="Q88" s="1"/>
    </row>
    <row r="89" spans="1:17" ht="13.5" x14ac:dyDescent="0.25">
      <c r="A89" s="1" t="str">
        <f t="shared" si="2"/>
        <v>Chrysler Town &amp; Country</v>
      </c>
      <c r="B89" s="1" t="s">
        <v>31</v>
      </c>
      <c r="C89" s="6" t="s">
        <v>127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0</v>
      </c>
      <c r="K89" s="3">
        <v>0</v>
      </c>
      <c r="L89" s="3">
        <v>9690</v>
      </c>
      <c r="M89" s="3">
        <v>0</v>
      </c>
      <c r="N89" s="3">
        <v>0</v>
      </c>
      <c r="O89" s="3">
        <v>0</v>
      </c>
      <c r="P89" s="4">
        <f t="shared" si="3"/>
        <v>9690</v>
      </c>
      <c r="Q89" s="1"/>
    </row>
    <row r="90" spans="1:17" ht="13.5" x14ac:dyDescent="0.25">
      <c r="A90" s="1" t="str">
        <f t="shared" si="2"/>
        <v>Dodge Challenger</v>
      </c>
      <c r="B90" s="1" t="s">
        <v>32</v>
      </c>
      <c r="C90" s="6" t="s">
        <v>128</v>
      </c>
      <c r="D90" s="3">
        <v>3942</v>
      </c>
      <c r="E90" s="3">
        <v>5104</v>
      </c>
      <c r="F90" s="3">
        <v>3092</v>
      </c>
      <c r="G90" s="3">
        <v>1778</v>
      </c>
      <c r="H90" s="3">
        <v>3952</v>
      </c>
      <c r="I90" s="3">
        <v>4150</v>
      </c>
      <c r="J90" s="3">
        <v>5727</v>
      </c>
      <c r="K90" s="3">
        <v>5090</v>
      </c>
      <c r="L90" s="3">
        <v>5515</v>
      </c>
      <c r="M90" s="3">
        <v>4927</v>
      </c>
      <c r="N90" s="3">
        <v>4047</v>
      </c>
      <c r="O90" s="3">
        <v>5631</v>
      </c>
      <c r="P90" s="4">
        <f t="shared" si="3"/>
        <v>52955</v>
      </c>
      <c r="Q90" s="1"/>
    </row>
    <row r="91" spans="1:17" ht="13.5" x14ac:dyDescent="0.25">
      <c r="A91" s="1" t="str">
        <f t="shared" si="2"/>
        <v>Dodge Charger</v>
      </c>
      <c r="B91" s="1" t="s">
        <v>32</v>
      </c>
      <c r="C91" s="6" t="s">
        <v>129</v>
      </c>
      <c r="D91" s="3">
        <v>6050</v>
      </c>
      <c r="E91" s="3">
        <v>7833</v>
      </c>
      <c r="F91" s="3">
        <v>4745</v>
      </c>
      <c r="G91" s="3">
        <v>2062</v>
      </c>
      <c r="H91" s="3">
        <v>4582</v>
      </c>
      <c r="I91" s="3">
        <v>4812</v>
      </c>
      <c r="J91" s="3">
        <v>8257</v>
      </c>
      <c r="K91" s="3">
        <v>7339</v>
      </c>
      <c r="L91" s="3">
        <v>7951</v>
      </c>
      <c r="M91" s="3">
        <v>8027</v>
      </c>
      <c r="N91" s="3">
        <v>6594</v>
      </c>
      <c r="O91" s="3">
        <v>9174</v>
      </c>
      <c r="P91" s="4">
        <f t="shared" si="3"/>
        <v>77426</v>
      </c>
      <c r="Q91" s="1"/>
    </row>
    <row r="92" spans="1:17" ht="13.5" x14ac:dyDescent="0.25">
      <c r="A92" s="1" t="str">
        <f t="shared" si="2"/>
        <v>Dodge Dart</v>
      </c>
      <c r="B92" s="1" t="s">
        <v>32</v>
      </c>
      <c r="C92" s="6" t="s">
        <v>130</v>
      </c>
      <c r="D92" s="3">
        <v>1</v>
      </c>
      <c r="E92" s="3">
        <v>1</v>
      </c>
      <c r="F92" s="3">
        <v>1</v>
      </c>
      <c r="G92" s="3">
        <v>0</v>
      </c>
      <c r="H92" s="3">
        <v>1</v>
      </c>
      <c r="I92" s="3">
        <v>1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4">
        <f t="shared" si="3"/>
        <v>5</v>
      </c>
      <c r="Q92" s="1"/>
    </row>
    <row r="93" spans="1:17" ht="13.5" x14ac:dyDescent="0.25">
      <c r="A93" s="1" t="str">
        <f t="shared" si="2"/>
        <v>Dodge Durango</v>
      </c>
      <c r="B93" s="1" t="s">
        <v>32</v>
      </c>
      <c r="C93" s="6" t="s">
        <v>131</v>
      </c>
      <c r="D93" s="3">
        <v>5783</v>
      </c>
      <c r="E93" s="3">
        <v>7487</v>
      </c>
      <c r="F93" s="3">
        <v>4535</v>
      </c>
      <c r="G93" s="3">
        <v>2105</v>
      </c>
      <c r="H93" s="3">
        <v>4678</v>
      </c>
      <c r="I93" s="3">
        <v>4911</v>
      </c>
      <c r="J93" s="3">
        <v>5595</v>
      </c>
      <c r="K93" s="3">
        <v>4974</v>
      </c>
      <c r="L93" s="3">
        <v>5388</v>
      </c>
      <c r="M93" s="3">
        <v>4174</v>
      </c>
      <c r="N93" s="3">
        <v>3428</v>
      </c>
      <c r="O93" s="3">
        <v>4770</v>
      </c>
      <c r="P93" s="4">
        <f t="shared" si="3"/>
        <v>57828</v>
      </c>
      <c r="Q93" s="1"/>
    </row>
    <row r="94" spans="1:17" ht="13.5" x14ac:dyDescent="0.25">
      <c r="A94" s="1" t="str">
        <f t="shared" si="2"/>
        <v>Dodge Grand Caravan</v>
      </c>
      <c r="B94" s="1" t="s">
        <v>32</v>
      </c>
      <c r="C94" s="6" t="s">
        <v>132</v>
      </c>
      <c r="D94" s="3">
        <v>8098</v>
      </c>
      <c r="E94" s="3">
        <v>10483</v>
      </c>
      <c r="F94" s="3">
        <v>6350</v>
      </c>
      <c r="G94" s="3">
        <v>952</v>
      </c>
      <c r="H94" s="3">
        <v>2116</v>
      </c>
      <c r="I94" s="3">
        <v>2222</v>
      </c>
      <c r="J94" s="3">
        <v>2080</v>
      </c>
      <c r="K94" s="3">
        <v>1849</v>
      </c>
      <c r="L94" s="3">
        <v>2003</v>
      </c>
      <c r="M94" s="3">
        <v>881</v>
      </c>
      <c r="N94" s="3">
        <v>724</v>
      </c>
      <c r="O94" s="3">
        <v>1007</v>
      </c>
      <c r="P94" s="4">
        <f t="shared" si="3"/>
        <v>38765</v>
      </c>
      <c r="Q94" s="1"/>
    </row>
    <row r="95" spans="1:17" ht="13.5" x14ac:dyDescent="0.25">
      <c r="A95" s="1" t="str">
        <f t="shared" si="2"/>
        <v>Dodge Journey</v>
      </c>
      <c r="B95" s="1" t="s">
        <v>32</v>
      </c>
      <c r="C95" s="6" t="s">
        <v>133</v>
      </c>
      <c r="D95" s="3">
        <v>4921</v>
      </c>
      <c r="E95" s="3">
        <v>6371</v>
      </c>
      <c r="F95" s="3">
        <v>3859</v>
      </c>
      <c r="G95" s="3">
        <v>978</v>
      </c>
      <c r="H95" s="3">
        <v>2174</v>
      </c>
      <c r="I95" s="3">
        <v>2282</v>
      </c>
      <c r="J95" s="3">
        <v>3564</v>
      </c>
      <c r="K95" s="3">
        <v>3168</v>
      </c>
      <c r="L95" s="3">
        <v>3432</v>
      </c>
      <c r="M95" s="3">
        <v>3236</v>
      </c>
      <c r="N95" s="3">
        <v>2658</v>
      </c>
      <c r="O95" s="3">
        <v>3698</v>
      </c>
      <c r="P95" s="4">
        <f t="shared" si="3"/>
        <v>40341</v>
      </c>
      <c r="Q95" s="1"/>
    </row>
    <row r="96" spans="1:17" ht="13.5" x14ac:dyDescent="0.25">
      <c r="A96" s="1" t="str">
        <f t="shared" si="2"/>
        <v>Dodge Viper</v>
      </c>
      <c r="B96" s="1" t="s">
        <v>32</v>
      </c>
      <c r="C96" s="6" t="s">
        <v>134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  <c r="J96" s="3">
        <v>1</v>
      </c>
      <c r="K96" s="3">
        <v>1</v>
      </c>
      <c r="L96" s="3">
        <v>1</v>
      </c>
      <c r="M96" s="3">
        <v>1</v>
      </c>
      <c r="N96" s="3">
        <v>1</v>
      </c>
      <c r="O96" s="3">
        <v>1</v>
      </c>
      <c r="P96" s="4">
        <f t="shared" si="3"/>
        <v>6</v>
      </c>
      <c r="Q96" s="1"/>
    </row>
    <row r="97" spans="1:17" ht="13.5" x14ac:dyDescent="0.25">
      <c r="A97" s="1" t="str">
        <f t="shared" si="2"/>
        <v>Fiat 124 Spider</v>
      </c>
      <c r="B97" s="1" t="s">
        <v>33</v>
      </c>
      <c r="C97" s="6" t="s">
        <v>135</v>
      </c>
      <c r="D97" s="3">
        <v>126</v>
      </c>
      <c r="E97" s="3">
        <v>163</v>
      </c>
      <c r="F97" s="3">
        <v>99</v>
      </c>
      <c r="G97" s="3">
        <v>105</v>
      </c>
      <c r="H97" s="3">
        <v>232</v>
      </c>
      <c r="I97" s="3">
        <v>244</v>
      </c>
      <c r="J97" s="3">
        <v>146</v>
      </c>
      <c r="K97" s="3">
        <v>130</v>
      </c>
      <c r="L97" s="3">
        <v>140</v>
      </c>
      <c r="M97" s="3">
        <v>110</v>
      </c>
      <c r="N97" s="3">
        <v>90</v>
      </c>
      <c r="O97" s="3">
        <v>126</v>
      </c>
      <c r="P97" s="4">
        <f t="shared" si="3"/>
        <v>1711</v>
      </c>
      <c r="Q97" s="1"/>
    </row>
    <row r="98" spans="1:17" ht="13.5" x14ac:dyDescent="0.25">
      <c r="A98" s="1" t="str">
        <f t="shared" si="2"/>
        <v>Fiat 500</v>
      </c>
      <c r="B98" s="1" t="s">
        <v>33</v>
      </c>
      <c r="C98" s="6">
        <v>500</v>
      </c>
      <c r="D98" s="3">
        <v>106</v>
      </c>
      <c r="E98" s="3">
        <v>138</v>
      </c>
      <c r="F98" s="3">
        <v>83</v>
      </c>
      <c r="G98" s="3">
        <v>43</v>
      </c>
      <c r="H98" s="3">
        <v>96</v>
      </c>
      <c r="I98" s="3">
        <v>100</v>
      </c>
      <c r="J98" s="3">
        <v>34</v>
      </c>
      <c r="K98" s="3">
        <v>30</v>
      </c>
      <c r="L98" s="3">
        <v>32</v>
      </c>
      <c r="M98" s="3">
        <v>4</v>
      </c>
      <c r="N98" s="3">
        <v>3</v>
      </c>
      <c r="O98" s="3">
        <v>5</v>
      </c>
      <c r="P98" s="4">
        <f t="shared" si="3"/>
        <v>674</v>
      </c>
      <c r="Q98" s="1"/>
    </row>
    <row r="99" spans="1:17" ht="13.5" x14ac:dyDescent="0.25">
      <c r="A99" s="1" t="str">
        <f t="shared" si="2"/>
        <v>Fiat 500L</v>
      </c>
      <c r="B99" s="1" t="s">
        <v>33</v>
      </c>
      <c r="C99" s="6" t="s">
        <v>136</v>
      </c>
      <c r="D99" s="3">
        <v>42</v>
      </c>
      <c r="E99" s="3">
        <v>55</v>
      </c>
      <c r="F99" s="3">
        <v>33</v>
      </c>
      <c r="G99" s="3">
        <v>22</v>
      </c>
      <c r="H99" s="3">
        <v>50</v>
      </c>
      <c r="I99" s="3">
        <v>52</v>
      </c>
      <c r="J99" s="3">
        <v>48</v>
      </c>
      <c r="K99" s="3">
        <v>43</v>
      </c>
      <c r="L99" s="3">
        <v>47</v>
      </c>
      <c r="M99" s="3">
        <v>28</v>
      </c>
      <c r="N99" s="3">
        <v>23</v>
      </c>
      <c r="O99" s="3">
        <v>32</v>
      </c>
      <c r="P99" s="4">
        <f t="shared" si="3"/>
        <v>475</v>
      </c>
      <c r="Q99" s="1"/>
    </row>
    <row r="100" spans="1:17" ht="13.5" x14ac:dyDescent="0.25">
      <c r="A100" s="1" t="str">
        <f t="shared" si="2"/>
        <v>Fiat 500X</v>
      </c>
      <c r="B100" s="1" t="s">
        <v>33</v>
      </c>
      <c r="C100" s="6" t="s">
        <v>137</v>
      </c>
      <c r="D100" s="3">
        <v>92</v>
      </c>
      <c r="E100" s="3">
        <v>119</v>
      </c>
      <c r="F100" s="3">
        <v>72</v>
      </c>
      <c r="G100" s="3">
        <v>71</v>
      </c>
      <c r="H100" s="3">
        <v>158</v>
      </c>
      <c r="I100" s="3">
        <v>166</v>
      </c>
      <c r="J100" s="3">
        <v>158</v>
      </c>
      <c r="K100" s="3">
        <v>141</v>
      </c>
      <c r="L100" s="3">
        <v>153</v>
      </c>
      <c r="M100" s="3">
        <v>106</v>
      </c>
      <c r="N100" s="3">
        <v>87</v>
      </c>
      <c r="O100" s="3">
        <v>121</v>
      </c>
      <c r="P100" s="4">
        <f t="shared" si="3"/>
        <v>1444</v>
      </c>
      <c r="Q100" s="1"/>
    </row>
    <row r="101" spans="1:17" ht="13.5" x14ac:dyDescent="0.25">
      <c r="A101" s="1" t="str">
        <f t="shared" si="2"/>
        <v>Ford Bronco Sport</v>
      </c>
      <c r="B101" s="1" t="s">
        <v>34</v>
      </c>
      <c r="C101" s="6" t="s">
        <v>138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22</v>
      </c>
      <c r="O101" s="3">
        <v>5098</v>
      </c>
      <c r="P101" s="4">
        <f t="shared" si="3"/>
        <v>5120</v>
      </c>
      <c r="Q101" s="1"/>
    </row>
    <row r="102" spans="1:17" ht="13.5" x14ac:dyDescent="0.25">
      <c r="A102" s="1" t="str">
        <f t="shared" si="2"/>
        <v>Ford EcoSport</v>
      </c>
      <c r="B102" s="1" t="s">
        <v>34</v>
      </c>
      <c r="C102" s="6" t="s">
        <v>140</v>
      </c>
      <c r="D102" s="3">
        <v>4197</v>
      </c>
      <c r="E102" s="3">
        <v>5434</v>
      </c>
      <c r="F102" s="3">
        <v>3291</v>
      </c>
      <c r="G102" s="3">
        <v>3102</v>
      </c>
      <c r="H102" s="3">
        <v>6893</v>
      </c>
      <c r="I102" s="3">
        <v>7237</v>
      </c>
      <c r="J102" s="3">
        <v>5977</v>
      </c>
      <c r="K102" s="3">
        <v>5313</v>
      </c>
      <c r="L102" s="3">
        <v>5755</v>
      </c>
      <c r="M102" s="3">
        <v>4210</v>
      </c>
      <c r="N102" s="3">
        <v>4318</v>
      </c>
      <c r="O102" s="3">
        <v>4817</v>
      </c>
      <c r="P102" s="4">
        <f t="shared" si="3"/>
        <v>60544</v>
      </c>
      <c r="Q102" s="1"/>
    </row>
    <row r="103" spans="1:17" ht="13.5" x14ac:dyDescent="0.25">
      <c r="A103" s="1" t="str">
        <f t="shared" si="2"/>
        <v>Ford Edge</v>
      </c>
      <c r="B103" s="1" t="s">
        <v>34</v>
      </c>
      <c r="C103" s="6" t="s">
        <v>141</v>
      </c>
      <c r="D103" s="3">
        <v>9614</v>
      </c>
      <c r="E103" s="3">
        <v>12446</v>
      </c>
      <c r="F103" s="3">
        <v>7539</v>
      </c>
      <c r="G103" s="3">
        <v>3789</v>
      </c>
      <c r="H103" s="3">
        <v>8421</v>
      </c>
      <c r="I103" s="3">
        <v>8842</v>
      </c>
      <c r="J103" s="3">
        <v>9191</v>
      </c>
      <c r="K103" s="3">
        <v>8170</v>
      </c>
      <c r="L103" s="3">
        <v>8850</v>
      </c>
      <c r="M103" s="3">
        <v>10387</v>
      </c>
      <c r="N103" s="3">
        <v>9096</v>
      </c>
      <c r="O103" s="3">
        <v>12541</v>
      </c>
      <c r="P103" s="4">
        <f t="shared" si="3"/>
        <v>108886</v>
      </c>
      <c r="Q103" s="1"/>
    </row>
    <row r="104" spans="1:17" ht="13.5" x14ac:dyDescent="0.25">
      <c r="A104" s="1" t="str">
        <f t="shared" si="2"/>
        <v>Ford Escape</v>
      </c>
      <c r="B104" s="1" t="s">
        <v>34</v>
      </c>
      <c r="C104" s="6" t="s">
        <v>142</v>
      </c>
      <c r="D104" s="3">
        <v>15628</v>
      </c>
      <c r="E104" s="3">
        <v>20233</v>
      </c>
      <c r="F104" s="3">
        <v>12255</v>
      </c>
      <c r="G104" s="3">
        <v>6602</v>
      </c>
      <c r="H104" s="3">
        <v>14672</v>
      </c>
      <c r="I104" s="3">
        <v>15406</v>
      </c>
      <c r="J104" s="3">
        <v>16465</v>
      </c>
      <c r="K104" s="3">
        <v>14636</v>
      </c>
      <c r="L104" s="3">
        <v>15855</v>
      </c>
      <c r="M104" s="3">
        <v>15959</v>
      </c>
      <c r="N104" s="3">
        <v>13411</v>
      </c>
      <c r="O104" s="3">
        <v>17373</v>
      </c>
      <c r="P104" s="4">
        <f t="shared" si="3"/>
        <v>178495</v>
      </c>
      <c r="Q104" s="1"/>
    </row>
    <row r="105" spans="1:17" ht="13.5" x14ac:dyDescent="0.25">
      <c r="A105" s="1" t="str">
        <f t="shared" si="2"/>
        <v>Ford E-Series</v>
      </c>
      <c r="B105" s="1" t="s">
        <v>34</v>
      </c>
      <c r="C105" s="6" t="s">
        <v>139</v>
      </c>
      <c r="D105" s="3">
        <v>3280</v>
      </c>
      <c r="E105" s="3">
        <v>4246</v>
      </c>
      <c r="F105" s="3">
        <v>2572</v>
      </c>
      <c r="G105" s="3">
        <v>1044</v>
      </c>
      <c r="H105" s="3">
        <v>2321</v>
      </c>
      <c r="I105" s="3">
        <v>2437</v>
      </c>
      <c r="J105" s="3">
        <v>3256</v>
      </c>
      <c r="K105" s="3">
        <v>2894</v>
      </c>
      <c r="L105" s="3">
        <v>3136</v>
      </c>
      <c r="M105" s="3">
        <v>4469</v>
      </c>
      <c r="N105" s="3">
        <v>3412</v>
      </c>
      <c r="O105" s="3">
        <v>3934</v>
      </c>
      <c r="P105" s="4">
        <f t="shared" si="3"/>
        <v>37001</v>
      </c>
      <c r="Q105" s="1"/>
    </row>
    <row r="106" spans="1:17" ht="13.5" x14ac:dyDescent="0.25">
      <c r="A106" s="1" t="str">
        <f t="shared" si="2"/>
        <v>Ford Expedition</v>
      </c>
      <c r="B106" s="1" t="s">
        <v>34</v>
      </c>
      <c r="C106" s="6" t="s">
        <v>143</v>
      </c>
      <c r="D106" s="3">
        <v>6428</v>
      </c>
      <c r="E106" s="3">
        <v>8322</v>
      </c>
      <c r="F106" s="3">
        <v>5041</v>
      </c>
      <c r="G106" s="3">
        <v>2260</v>
      </c>
      <c r="H106" s="3">
        <v>5022</v>
      </c>
      <c r="I106" s="3">
        <v>5273</v>
      </c>
      <c r="J106" s="3">
        <v>6803</v>
      </c>
      <c r="K106" s="3">
        <v>6047</v>
      </c>
      <c r="L106" s="3">
        <v>6551</v>
      </c>
      <c r="M106" s="3">
        <v>9014</v>
      </c>
      <c r="N106" s="3">
        <v>7025</v>
      </c>
      <c r="O106" s="3">
        <v>10052</v>
      </c>
      <c r="P106" s="4">
        <f t="shared" si="3"/>
        <v>77838</v>
      </c>
      <c r="Q106" s="1"/>
    </row>
    <row r="107" spans="1:17" ht="13.5" x14ac:dyDescent="0.25">
      <c r="A107" s="1" t="str">
        <f t="shared" si="2"/>
        <v>Ford Explorer</v>
      </c>
      <c r="B107" s="1" t="s">
        <v>34</v>
      </c>
      <c r="C107" s="6" t="s">
        <v>144</v>
      </c>
      <c r="D107" s="3">
        <v>18289</v>
      </c>
      <c r="E107" s="3">
        <v>23678</v>
      </c>
      <c r="F107" s="3">
        <v>14342</v>
      </c>
      <c r="G107" s="3">
        <v>8071</v>
      </c>
      <c r="H107" s="3">
        <v>17936</v>
      </c>
      <c r="I107" s="3">
        <v>18832</v>
      </c>
      <c r="J107" s="3">
        <v>20709</v>
      </c>
      <c r="K107" s="3">
        <v>18408</v>
      </c>
      <c r="L107" s="3">
        <v>19942</v>
      </c>
      <c r="M107" s="3">
        <v>21079</v>
      </c>
      <c r="N107" s="3">
        <v>18848</v>
      </c>
      <c r="O107" s="3">
        <v>26081</v>
      </c>
      <c r="P107" s="4">
        <f t="shared" si="3"/>
        <v>226215</v>
      </c>
      <c r="Q107" s="1"/>
    </row>
    <row r="108" spans="1:17" ht="13.5" x14ac:dyDescent="0.25">
      <c r="A108" s="1" t="str">
        <f t="shared" si="2"/>
        <v>Ford Fiesta</v>
      </c>
      <c r="B108" s="1" t="s">
        <v>34</v>
      </c>
      <c r="C108" s="6" t="s">
        <v>146</v>
      </c>
      <c r="D108" s="3">
        <v>884</v>
      </c>
      <c r="E108" s="3">
        <v>1145</v>
      </c>
      <c r="F108" s="3">
        <v>694</v>
      </c>
      <c r="G108" s="3">
        <v>78</v>
      </c>
      <c r="H108" s="3">
        <v>174</v>
      </c>
      <c r="I108" s="3">
        <v>182</v>
      </c>
      <c r="J108" s="3">
        <v>47</v>
      </c>
      <c r="K108" s="3">
        <v>42</v>
      </c>
      <c r="L108" s="3">
        <v>46</v>
      </c>
      <c r="M108" s="3">
        <v>11</v>
      </c>
      <c r="N108" s="3">
        <v>51</v>
      </c>
      <c r="O108" s="3">
        <v>0</v>
      </c>
      <c r="P108" s="4">
        <f t="shared" si="3"/>
        <v>3354</v>
      </c>
      <c r="Q108" s="1"/>
    </row>
    <row r="109" spans="1:17" ht="13.5" x14ac:dyDescent="0.25">
      <c r="A109" s="1" t="str">
        <f t="shared" si="2"/>
        <v>Ford Flex</v>
      </c>
      <c r="B109" s="1" t="s">
        <v>34</v>
      </c>
      <c r="C109" s="6" t="s">
        <v>147</v>
      </c>
      <c r="D109" s="3">
        <v>801</v>
      </c>
      <c r="E109" s="3">
        <v>1037</v>
      </c>
      <c r="F109" s="3">
        <v>628</v>
      </c>
      <c r="G109" s="3">
        <v>303</v>
      </c>
      <c r="H109" s="3">
        <v>674</v>
      </c>
      <c r="I109" s="3">
        <v>708</v>
      </c>
      <c r="J109" s="3">
        <v>189</v>
      </c>
      <c r="K109" s="3">
        <v>168</v>
      </c>
      <c r="L109" s="3">
        <v>182</v>
      </c>
      <c r="M109" s="3">
        <v>41</v>
      </c>
      <c r="N109" s="3">
        <v>118</v>
      </c>
      <c r="O109" s="3">
        <v>0</v>
      </c>
      <c r="P109" s="4">
        <f t="shared" si="3"/>
        <v>4849</v>
      </c>
      <c r="Q109" s="1"/>
    </row>
    <row r="110" spans="1:17" ht="13.5" x14ac:dyDescent="0.25">
      <c r="A110" s="1" t="str">
        <f t="shared" si="2"/>
        <v>Ford F-Series</v>
      </c>
      <c r="B110" s="1" t="s">
        <v>34</v>
      </c>
      <c r="C110" s="6" t="s">
        <v>145</v>
      </c>
      <c r="D110" s="3">
        <v>60595</v>
      </c>
      <c r="E110" s="3">
        <v>78449</v>
      </c>
      <c r="F110" s="3">
        <v>47517</v>
      </c>
      <c r="G110" s="3">
        <v>32549</v>
      </c>
      <c r="H110" s="3">
        <v>72330</v>
      </c>
      <c r="I110" s="3">
        <v>75947</v>
      </c>
      <c r="J110" s="3">
        <v>77720</v>
      </c>
      <c r="K110" s="3">
        <v>69085</v>
      </c>
      <c r="L110" s="3">
        <v>74842</v>
      </c>
      <c r="M110" s="3">
        <v>71593</v>
      </c>
      <c r="N110" s="3">
        <v>52698</v>
      </c>
      <c r="O110" s="3">
        <v>74047</v>
      </c>
      <c r="P110" s="4">
        <f t="shared" si="3"/>
        <v>787372</v>
      </c>
      <c r="Q110" s="1"/>
    </row>
    <row r="111" spans="1:17" ht="13.5" x14ac:dyDescent="0.25">
      <c r="A111" s="1" t="str">
        <f t="shared" si="2"/>
        <v>Ford Fusion</v>
      </c>
      <c r="B111" s="1" t="s">
        <v>34</v>
      </c>
      <c r="C111" s="6" t="s">
        <v>148</v>
      </c>
      <c r="D111" s="3">
        <v>11997</v>
      </c>
      <c r="E111" s="3">
        <v>15532</v>
      </c>
      <c r="F111" s="3">
        <v>9408</v>
      </c>
      <c r="G111" s="3">
        <v>4407</v>
      </c>
      <c r="H111" s="3">
        <v>9794</v>
      </c>
      <c r="I111" s="3">
        <v>10283</v>
      </c>
      <c r="J111" s="3">
        <v>10254</v>
      </c>
      <c r="K111" s="3">
        <v>9115</v>
      </c>
      <c r="L111" s="3">
        <v>9874</v>
      </c>
      <c r="M111" s="3">
        <v>6526</v>
      </c>
      <c r="N111" s="3">
        <v>5902</v>
      </c>
      <c r="O111" s="3">
        <v>7573</v>
      </c>
      <c r="P111" s="4">
        <f t="shared" si="3"/>
        <v>110665</v>
      </c>
      <c r="Q111" s="1"/>
    </row>
    <row r="112" spans="1:17" ht="13.5" x14ac:dyDescent="0.25">
      <c r="A112" s="1" t="str">
        <f t="shared" si="2"/>
        <v>Ford GT</v>
      </c>
      <c r="B112" s="1" t="s">
        <v>34</v>
      </c>
      <c r="C112" s="6" t="s">
        <v>149</v>
      </c>
      <c r="D112" s="3">
        <v>26</v>
      </c>
      <c r="E112" s="3">
        <v>33</v>
      </c>
      <c r="F112" s="3">
        <v>20</v>
      </c>
      <c r="G112" s="3">
        <v>3</v>
      </c>
      <c r="H112" s="3">
        <v>7</v>
      </c>
      <c r="I112" s="3">
        <v>8</v>
      </c>
      <c r="J112" s="3">
        <v>0</v>
      </c>
      <c r="K112" s="3">
        <v>0</v>
      </c>
      <c r="L112" s="3">
        <v>0</v>
      </c>
      <c r="M112" s="3">
        <v>14</v>
      </c>
      <c r="N112" s="3">
        <v>4</v>
      </c>
      <c r="O112" s="3">
        <v>10</v>
      </c>
      <c r="P112" s="4">
        <f t="shared" si="3"/>
        <v>125</v>
      </c>
      <c r="Q112" s="1"/>
    </row>
    <row r="113" spans="1:17" ht="13.5" x14ac:dyDescent="0.25">
      <c r="A113" s="1" t="str">
        <f t="shared" si="2"/>
        <v>Ford Mustang</v>
      </c>
      <c r="B113" s="1" t="s">
        <v>34</v>
      </c>
      <c r="C113" s="6" t="s">
        <v>150</v>
      </c>
      <c r="D113" s="3">
        <v>5869</v>
      </c>
      <c r="E113" s="3">
        <v>7598</v>
      </c>
      <c r="F113" s="3">
        <v>4602</v>
      </c>
      <c r="G113" s="3">
        <v>2829</v>
      </c>
      <c r="H113" s="3">
        <v>6287</v>
      </c>
      <c r="I113" s="3">
        <v>6601</v>
      </c>
      <c r="J113" s="3">
        <v>4857</v>
      </c>
      <c r="K113" s="3">
        <v>4317</v>
      </c>
      <c r="L113" s="3">
        <v>4677</v>
      </c>
      <c r="M113" s="3">
        <v>4399</v>
      </c>
      <c r="N113" s="3">
        <v>4119</v>
      </c>
      <c r="O113" s="3">
        <v>4935</v>
      </c>
      <c r="P113" s="4">
        <f t="shared" si="3"/>
        <v>61090</v>
      </c>
      <c r="Q113" s="1"/>
    </row>
    <row r="114" spans="1:17" ht="13.5" x14ac:dyDescent="0.25">
      <c r="A114" s="1" t="str">
        <f t="shared" si="2"/>
        <v>Ford Mustang Mach-E</v>
      </c>
      <c r="B114" s="1" t="s">
        <v>34</v>
      </c>
      <c r="C114" s="6" t="s">
        <v>151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3</v>
      </c>
      <c r="P114" s="4">
        <f t="shared" si="3"/>
        <v>3</v>
      </c>
      <c r="Q114" s="1"/>
    </row>
    <row r="115" spans="1:17" ht="13.5" x14ac:dyDescent="0.25">
      <c r="A115" s="1" t="str">
        <f t="shared" si="2"/>
        <v>Ford Ranger</v>
      </c>
      <c r="B115" s="1" t="s">
        <v>34</v>
      </c>
      <c r="C115" s="6" t="s">
        <v>152</v>
      </c>
      <c r="D115" s="3">
        <v>6814</v>
      </c>
      <c r="E115" s="3">
        <v>8822</v>
      </c>
      <c r="F115" s="3">
        <v>5344</v>
      </c>
      <c r="G115" s="3">
        <v>4501</v>
      </c>
      <c r="H115" s="3">
        <v>10003</v>
      </c>
      <c r="I115" s="3">
        <v>10503</v>
      </c>
      <c r="J115" s="3">
        <v>9941</v>
      </c>
      <c r="K115" s="3">
        <v>8836</v>
      </c>
      <c r="L115" s="3">
        <v>9573</v>
      </c>
      <c r="M115" s="3">
        <v>8779</v>
      </c>
      <c r="N115" s="3">
        <v>8495</v>
      </c>
      <c r="O115" s="3">
        <v>9874</v>
      </c>
      <c r="P115" s="4">
        <f t="shared" si="3"/>
        <v>101485</v>
      </c>
      <c r="Q115" s="1"/>
    </row>
    <row r="116" spans="1:17" ht="13.5" x14ac:dyDescent="0.25">
      <c r="A116" s="1" t="str">
        <f t="shared" si="2"/>
        <v>Ford Transit</v>
      </c>
      <c r="B116" s="1" t="s">
        <v>34</v>
      </c>
      <c r="C116" s="6" t="s">
        <v>153</v>
      </c>
      <c r="D116" s="3">
        <v>11964</v>
      </c>
      <c r="E116" s="3">
        <v>15490</v>
      </c>
      <c r="F116" s="3">
        <v>9382</v>
      </c>
      <c r="G116" s="3">
        <v>3230</v>
      </c>
      <c r="H116" s="3">
        <v>7178</v>
      </c>
      <c r="I116" s="3">
        <v>7536</v>
      </c>
      <c r="J116" s="3">
        <v>13637</v>
      </c>
      <c r="K116" s="3">
        <v>12122</v>
      </c>
      <c r="L116" s="3">
        <v>13132</v>
      </c>
      <c r="M116" s="3">
        <v>12403</v>
      </c>
      <c r="N116" s="3">
        <v>9917</v>
      </c>
      <c r="O116" s="3">
        <v>15566</v>
      </c>
      <c r="P116" s="4">
        <f t="shared" si="3"/>
        <v>131557</v>
      </c>
      <c r="Q116" s="1"/>
    </row>
    <row r="117" spans="1:17" ht="13.5" x14ac:dyDescent="0.25">
      <c r="A117" s="1" t="str">
        <f t="shared" si="2"/>
        <v>Ford Transit Connect</v>
      </c>
      <c r="B117" s="1" t="s">
        <v>34</v>
      </c>
      <c r="C117" s="6" t="s">
        <v>154</v>
      </c>
      <c r="D117" s="3">
        <v>2457</v>
      </c>
      <c r="E117" s="3">
        <v>3181</v>
      </c>
      <c r="F117" s="3">
        <v>1927</v>
      </c>
      <c r="G117" s="3">
        <v>1217</v>
      </c>
      <c r="H117" s="3">
        <v>2704</v>
      </c>
      <c r="I117" s="3">
        <v>2839</v>
      </c>
      <c r="J117" s="3">
        <v>3828</v>
      </c>
      <c r="K117" s="3">
        <v>3402</v>
      </c>
      <c r="L117" s="3">
        <v>3686</v>
      </c>
      <c r="M117" s="3">
        <v>2886</v>
      </c>
      <c r="N117" s="3">
        <v>2993</v>
      </c>
      <c r="O117" s="3">
        <v>3476</v>
      </c>
      <c r="P117" s="4">
        <f t="shared" si="3"/>
        <v>34596</v>
      </c>
      <c r="Q117" s="1"/>
    </row>
    <row r="118" spans="1:17" ht="13.5" x14ac:dyDescent="0.25">
      <c r="A118" s="1" t="str">
        <f t="shared" si="2"/>
        <v>Genesis G70</v>
      </c>
      <c r="B118" s="1" t="s">
        <v>35</v>
      </c>
      <c r="C118" s="6" t="s">
        <v>155</v>
      </c>
      <c r="D118" s="3">
        <v>716</v>
      </c>
      <c r="E118" s="3">
        <v>841</v>
      </c>
      <c r="F118" s="3">
        <v>517</v>
      </c>
      <c r="G118" s="3">
        <v>551</v>
      </c>
      <c r="H118" s="3">
        <v>870</v>
      </c>
      <c r="I118" s="3">
        <v>897</v>
      </c>
      <c r="J118" s="3">
        <v>883</v>
      </c>
      <c r="K118" s="3">
        <v>950</v>
      </c>
      <c r="L118" s="3">
        <v>899</v>
      </c>
      <c r="M118" s="3">
        <v>826</v>
      </c>
      <c r="N118" s="3">
        <v>683</v>
      </c>
      <c r="O118" s="3">
        <v>803</v>
      </c>
      <c r="P118" s="4">
        <f t="shared" si="3"/>
        <v>9436</v>
      </c>
      <c r="Q118" s="1"/>
    </row>
    <row r="119" spans="1:17" ht="13.5" x14ac:dyDescent="0.25">
      <c r="A119" s="1" t="str">
        <f t="shared" si="2"/>
        <v>Genesis G80</v>
      </c>
      <c r="B119" s="1" t="s">
        <v>35</v>
      </c>
      <c r="C119" s="6" t="s">
        <v>156</v>
      </c>
      <c r="D119" s="3">
        <v>456</v>
      </c>
      <c r="E119" s="3">
        <v>457</v>
      </c>
      <c r="F119" s="3">
        <v>284</v>
      </c>
      <c r="G119" s="3">
        <v>161</v>
      </c>
      <c r="H119" s="3">
        <v>319</v>
      </c>
      <c r="I119" s="3">
        <v>324</v>
      </c>
      <c r="J119" s="3">
        <v>242</v>
      </c>
      <c r="K119" s="3">
        <v>226</v>
      </c>
      <c r="L119" s="3">
        <v>133</v>
      </c>
      <c r="M119" s="3">
        <v>89</v>
      </c>
      <c r="N119" s="3">
        <v>55</v>
      </c>
      <c r="O119" s="3">
        <v>613</v>
      </c>
      <c r="P119" s="4">
        <f t="shared" si="3"/>
        <v>3359</v>
      </c>
      <c r="Q119" s="1"/>
    </row>
    <row r="120" spans="1:17" ht="13.5" x14ac:dyDescent="0.25">
      <c r="A120" s="1" t="str">
        <f t="shared" si="2"/>
        <v>Genesis G90</v>
      </c>
      <c r="B120" s="1" t="s">
        <v>35</v>
      </c>
      <c r="C120" s="6" t="s">
        <v>157</v>
      </c>
      <c r="D120" s="3">
        <v>227</v>
      </c>
      <c r="E120" s="3">
        <v>289</v>
      </c>
      <c r="F120" s="3">
        <v>168</v>
      </c>
      <c r="G120" s="3">
        <v>94</v>
      </c>
      <c r="H120" s="3">
        <v>161</v>
      </c>
      <c r="I120" s="3">
        <v>208</v>
      </c>
      <c r="J120" s="3">
        <v>132</v>
      </c>
      <c r="K120" s="3">
        <v>184</v>
      </c>
      <c r="L120" s="3">
        <v>96</v>
      </c>
      <c r="M120" s="3">
        <v>139</v>
      </c>
      <c r="N120" s="3">
        <v>139</v>
      </c>
      <c r="O120" s="3">
        <v>235</v>
      </c>
      <c r="P120" s="4">
        <f t="shared" si="3"/>
        <v>2072</v>
      </c>
      <c r="Q120" s="1"/>
    </row>
    <row r="121" spans="1:17" ht="13.5" x14ac:dyDescent="0.25">
      <c r="A121" s="1" t="str">
        <f t="shared" si="2"/>
        <v>Genesis GV80</v>
      </c>
      <c r="B121" s="1" t="s">
        <v>35</v>
      </c>
      <c r="C121" s="6" t="s">
        <v>158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</v>
      </c>
      <c r="M121" s="3">
        <v>0</v>
      </c>
      <c r="N121" s="3">
        <v>58</v>
      </c>
      <c r="O121" s="3">
        <v>1459</v>
      </c>
      <c r="P121" s="4">
        <f t="shared" si="3"/>
        <v>1517</v>
      </c>
      <c r="Q121" s="1"/>
    </row>
    <row r="122" spans="1:17" ht="13.5" x14ac:dyDescent="0.25">
      <c r="A122" s="1" t="str">
        <f t="shared" si="2"/>
        <v>GMC Acadia</v>
      </c>
      <c r="B122" s="1" t="s">
        <v>36</v>
      </c>
      <c r="C122" s="6" t="s">
        <v>159</v>
      </c>
      <c r="D122" s="3">
        <v>5744</v>
      </c>
      <c r="E122" s="3">
        <v>7437</v>
      </c>
      <c r="F122" s="3">
        <v>4505</v>
      </c>
      <c r="G122" s="3">
        <v>2744</v>
      </c>
      <c r="H122" s="3">
        <v>6097</v>
      </c>
      <c r="I122" s="3">
        <v>6402</v>
      </c>
      <c r="J122" s="3">
        <v>6393</v>
      </c>
      <c r="K122" s="3">
        <v>5682</v>
      </c>
      <c r="L122" s="3">
        <v>6156</v>
      </c>
      <c r="M122" s="3">
        <v>7212</v>
      </c>
      <c r="N122" s="3">
        <v>5924</v>
      </c>
      <c r="O122" s="3">
        <v>8242</v>
      </c>
      <c r="P122" s="4">
        <f t="shared" si="3"/>
        <v>72538</v>
      </c>
      <c r="Q122" s="1"/>
    </row>
    <row r="123" spans="1:17" ht="13.5" x14ac:dyDescent="0.25">
      <c r="A123" s="1" t="str">
        <f t="shared" si="2"/>
        <v>GMC Canyon</v>
      </c>
      <c r="B123" s="1" t="s">
        <v>36</v>
      </c>
      <c r="C123" s="6" t="s">
        <v>160</v>
      </c>
      <c r="D123" s="3">
        <v>1456</v>
      </c>
      <c r="E123" s="3">
        <v>1885</v>
      </c>
      <c r="F123" s="3">
        <v>1142</v>
      </c>
      <c r="G123" s="3">
        <v>941</v>
      </c>
      <c r="H123" s="3">
        <v>2090</v>
      </c>
      <c r="I123" s="3">
        <v>2195</v>
      </c>
      <c r="J123" s="3">
        <v>2270</v>
      </c>
      <c r="K123" s="3">
        <v>2018</v>
      </c>
      <c r="L123" s="3">
        <v>2186</v>
      </c>
      <c r="M123" s="3">
        <v>3039</v>
      </c>
      <c r="N123" s="3">
        <v>2496</v>
      </c>
      <c r="O123" s="3">
        <v>3473</v>
      </c>
      <c r="P123" s="4">
        <f t="shared" si="3"/>
        <v>25191</v>
      </c>
      <c r="Q123" s="1"/>
    </row>
    <row r="124" spans="1:17" ht="13.5" x14ac:dyDescent="0.25">
      <c r="A124" s="1" t="str">
        <f t="shared" si="2"/>
        <v>GMC Savana</v>
      </c>
      <c r="B124" s="1" t="s">
        <v>36</v>
      </c>
      <c r="C124" s="6" t="s">
        <v>161</v>
      </c>
      <c r="D124" s="3">
        <v>1358</v>
      </c>
      <c r="E124" s="3">
        <v>1759</v>
      </c>
      <c r="F124" s="3">
        <v>1065</v>
      </c>
      <c r="G124" s="3">
        <v>537</v>
      </c>
      <c r="H124" s="3">
        <v>1194</v>
      </c>
      <c r="I124" s="3">
        <v>1253</v>
      </c>
      <c r="J124" s="3">
        <v>1698</v>
      </c>
      <c r="K124" s="3">
        <v>1510</v>
      </c>
      <c r="L124" s="3">
        <v>1635</v>
      </c>
      <c r="M124" s="3">
        <v>1045</v>
      </c>
      <c r="N124" s="3">
        <v>859</v>
      </c>
      <c r="O124" s="3">
        <v>1195</v>
      </c>
      <c r="P124" s="4">
        <f t="shared" si="3"/>
        <v>15108</v>
      </c>
      <c r="Q124" s="1"/>
    </row>
    <row r="125" spans="1:17" ht="13.5" x14ac:dyDescent="0.25">
      <c r="A125" s="1" t="str">
        <f t="shared" si="2"/>
        <v>GMC Sierra</v>
      </c>
      <c r="B125" s="1" t="s">
        <v>36</v>
      </c>
      <c r="C125" s="6" t="s">
        <v>162</v>
      </c>
      <c r="D125" s="3">
        <v>17217</v>
      </c>
      <c r="E125" s="3">
        <v>22290</v>
      </c>
      <c r="F125" s="3">
        <v>13501</v>
      </c>
      <c r="G125" s="3">
        <v>9688</v>
      </c>
      <c r="H125" s="3">
        <v>21530</v>
      </c>
      <c r="I125" s="3">
        <v>22606</v>
      </c>
      <c r="J125" s="3">
        <v>23778</v>
      </c>
      <c r="K125" s="3">
        <v>21136</v>
      </c>
      <c r="L125" s="3">
        <v>22898</v>
      </c>
      <c r="M125" s="3">
        <v>26438</v>
      </c>
      <c r="N125" s="3">
        <v>21717</v>
      </c>
      <c r="O125" s="3">
        <v>30215</v>
      </c>
      <c r="P125" s="4">
        <f t="shared" si="3"/>
        <v>253014</v>
      </c>
      <c r="Q125" s="1"/>
    </row>
    <row r="126" spans="1:17" ht="13.5" x14ac:dyDescent="0.25">
      <c r="A126" s="1" t="str">
        <f t="shared" si="2"/>
        <v>GMC Terrain</v>
      </c>
      <c r="B126" s="1" t="s">
        <v>36</v>
      </c>
      <c r="C126" s="6" t="s">
        <v>163</v>
      </c>
      <c r="D126" s="3">
        <v>8215</v>
      </c>
      <c r="E126" s="3">
        <v>10635</v>
      </c>
      <c r="F126" s="3">
        <v>6442</v>
      </c>
      <c r="G126" s="3">
        <v>2509</v>
      </c>
      <c r="H126" s="3">
        <v>5576</v>
      </c>
      <c r="I126" s="3">
        <v>5854</v>
      </c>
      <c r="J126" s="3">
        <v>7473</v>
      </c>
      <c r="K126" s="3">
        <v>6643</v>
      </c>
      <c r="L126" s="3">
        <v>7197</v>
      </c>
      <c r="M126" s="3">
        <v>8594</v>
      </c>
      <c r="N126" s="3">
        <v>7060</v>
      </c>
      <c r="O126" s="3">
        <v>9822</v>
      </c>
      <c r="P126" s="4">
        <f t="shared" si="3"/>
        <v>86020</v>
      </c>
      <c r="Q126" s="1"/>
    </row>
    <row r="127" spans="1:17" ht="13.5" x14ac:dyDescent="0.25">
      <c r="A127" s="1" t="str">
        <f t="shared" si="2"/>
        <v>GMC Yukon</v>
      </c>
      <c r="B127" s="1" t="s">
        <v>36</v>
      </c>
      <c r="C127" s="6" t="s">
        <v>164</v>
      </c>
      <c r="D127" s="3">
        <v>4569</v>
      </c>
      <c r="E127" s="3">
        <v>5915</v>
      </c>
      <c r="F127" s="3">
        <v>3583</v>
      </c>
      <c r="G127" s="3">
        <v>1898</v>
      </c>
      <c r="H127" s="3">
        <v>4217</v>
      </c>
      <c r="I127" s="3">
        <v>4428</v>
      </c>
      <c r="J127" s="3">
        <v>4935</v>
      </c>
      <c r="K127" s="3">
        <v>4386</v>
      </c>
      <c r="L127" s="3">
        <v>4752</v>
      </c>
      <c r="M127" s="3">
        <v>8352</v>
      </c>
      <c r="N127" s="3">
        <v>6861</v>
      </c>
      <c r="O127" s="3">
        <v>9546</v>
      </c>
      <c r="P127" s="4">
        <f t="shared" si="3"/>
        <v>63442</v>
      </c>
      <c r="Q127" s="1"/>
    </row>
    <row r="128" spans="1:17" ht="13.5" x14ac:dyDescent="0.25">
      <c r="A128" s="1" t="str">
        <f t="shared" si="2"/>
        <v>Honda Accord</v>
      </c>
      <c r="B128" s="1" t="s">
        <v>37</v>
      </c>
      <c r="C128" s="6" t="s">
        <v>165</v>
      </c>
      <c r="D128" s="3">
        <v>15099</v>
      </c>
      <c r="E128" s="3">
        <v>18216</v>
      </c>
      <c r="F128" s="3">
        <v>13810</v>
      </c>
      <c r="G128" s="3">
        <v>8851</v>
      </c>
      <c r="H128" s="3">
        <v>17369</v>
      </c>
      <c r="I128" s="3">
        <v>15409</v>
      </c>
      <c r="J128" s="3">
        <v>17221</v>
      </c>
      <c r="K128" s="3">
        <v>19167</v>
      </c>
      <c r="L128" s="3">
        <v>20149</v>
      </c>
      <c r="M128" s="3">
        <v>19185</v>
      </c>
      <c r="N128" s="3">
        <v>15473</v>
      </c>
      <c r="O128" s="3">
        <v>19509</v>
      </c>
      <c r="P128" s="4">
        <f t="shared" si="3"/>
        <v>199458</v>
      </c>
      <c r="Q128" s="1"/>
    </row>
    <row r="129" spans="1:17" ht="13.5" x14ac:dyDescent="0.25">
      <c r="A129" s="1" t="str">
        <f t="shared" si="2"/>
        <v>Honda Civic</v>
      </c>
      <c r="B129" s="1" t="s">
        <v>37</v>
      </c>
      <c r="C129" s="6" t="s">
        <v>166</v>
      </c>
      <c r="D129" s="3">
        <v>20054</v>
      </c>
      <c r="E129" s="3">
        <v>25617</v>
      </c>
      <c r="F129" s="3">
        <v>18273</v>
      </c>
      <c r="G129" s="3">
        <v>13410</v>
      </c>
      <c r="H129" s="3">
        <v>27244</v>
      </c>
      <c r="I129" s="3">
        <v>23260</v>
      </c>
      <c r="J129" s="3">
        <v>25188</v>
      </c>
      <c r="K129" s="3">
        <v>25524</v>
      </c>
      <c r="L129" s="3">
        <v>22371</v>
      </c>
      <c r="M129" s="3">
        <v>21865</v>
      </c>
      <c r="N129" s="3">
        <v>17372</v>
      </c>
      <c r="O129" s="3">
        <v>21047</v>
      </c>
      <c r="P129" s="4">
        <f t="shared" si="3"/>
        <v>261225</v>
      </c>
      <c r="Q129" s="1"/>
    </row>
    <row r="130" spans="1:17" ht="13.5" x14ac:dyDescent="0.25">
      <c r="A130" s="1" t="str">
        <f t="shared" si="2"/>
        <v>Honda Clarity</v>
      </c>
      <c r="B130" s="1" t="s">
        <v>37</v>
      </c>
      <c r="C130" s="6" t="s">
        <v>176</v>
      </c>
      <c r="D130" s="3">
        <v>475</v>
      </c>
      <c r="E130" s="3">
        <v>559</v>
      </c>
      <c r="F130" s="3">
        <v>221</v>
      </c>
      <c r="G130" s="3">
        <v>90</v>
      </c>
      <c r="H130" s="3">
        <v>248</v>
      </c>
      <c r="I130" s="3">
        <v>187</v>
      </c>
      <c r="J130" s="3">
        <v>213</v>
      </c>
      <c r="K130" s="3">
        <v>251</v>
      </c>
      <c r="L130" s="3">
        <v>354</v>
      </c>
      <c r="M130" s="3">
        <v>719</v>
      </c>
      <c r="N130" s="3">
        <v>347</v>
      </c>
      <c r="O130" s="3">
        <v>0</v>
      </c>
      <c r="P130" s="4">
        <f t="shared" si="3"/>
        <v>3664</v>
      </c>
      <c r="Q130" s="1"/>
    </row>
    <row r="131" spans="1:17" ht="13.5" x14ac:dyDescent="0.25">
      <c r="A131" s="1" t="str">
        <f t="shared" si="2"/>
        <v>Honda CR-V</v>
      </c>
      <c r="B131" s="1" t="s">
        <v>37</v>
      </c>
      <c r="C131" s="6" t="s">
        <v>167</v>
      </c>
      <c r="D131" s="3">
        <v>26027</v>
      </c>
      <c r="E131" s="3">
        <v>28268</v>
      </c>
      <c r="F131" s="3">
        <v>16891</v>
      </c>
      <c r="G131" s="3">
        <v>12201</v>
      </c>
      <c r="H131" s="3">
        <v>29023</v>
      </c>
      <c r="I131" s="3">
        <v>26488</v>
      </c>
      <c r="J131" s="3">
        <v>20473</v>
      </c>
      <c r="K131" s="3">
        <v>34391</v>
      </c>
      <c r="L131" s="3">
        <v>33572</v>
      </c>
      <c r="M131" s="3">
        <v>32415</v>
      </c>
      <c r="N131" s="3">
        <v>25633</v>
      </c>
      <c r="O131" s="3">
        <v>38120</v>
      </c>
      <c r="P131" s="4">
        <f t="shared" si="3"/>
        <v>323502</v>
      </c>
      <c r="Q131" s="1"/>
    </row>
    <row r="132" spans="1:17" ht="13.5" x14ac:dyDescent="0.25">
      <c r="A132" s="1" t="str">
        <f t="shared" si="2"/>
        <v>Honda CR-Z</v>
      </c>
      <c r="B132" s="1" t="s">
        <v>37</v>
      </c>
      <c r="C132" s="6" t="s">
        <v>168</v>
      </c>
      <c r="D132" s="3">
        <v>0</v>
      </c>
      <c r="E132" s="3">
        <v>1</v>
      </c>
      <c r="F132" s="3">
        <v>0</v>
      </c>
      <c r="G132" s="3">
        <v>0</v>
      </c>
      <c r="H132" s="3">
        <v>0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551</v>
      </c>
      <c r="P132" s="4">
        <f t="shared" si="3"/>
        <v>552</v>
      </c>
      <c r="Q132" s="1"/>
    </row>
    <row r="133" spans="1:17" ht="13.5" x14ac:dyDescent="0.25">
      <c r="A133" s="1" t="str">
        <f t="shared" si="2"/>
        <v>Honda Fit</v>
      </c>
      <c r="B133" s="1" t="s">
        <v>37</v>
      </c>
      <c r="C133" s="6" t="s">
        <v>169</v>
      </c>
      <c r="D133" s="3">
        <v>2534</v>
      </c>
      <c r="E133" s="3">
        <v>2853</v>
      </c>
      <c r="F133" s="3">
        <v>1792</v>
      </c>
      <c r="G133" s="3">
        <v>1187</v>
      </c>
      <c r="H133" s="3">
        <v>2598</v>
      </c>
      <c r="I133" s="3">
        <v>2923</v>
      </c>
      <c r="J133" s="3">
        <v>3571</v>
      </c>
      <c r="K133" s="3">
        <v>3814</v>
      </c>
      <c r="L133" s="3">
        <v>3116</v>
      </c>
      <c r="M133" s="3">
        <v>3082</v>
      </c>
      <c r="N133" s="3">
        <v>2313</v>
      </c>
      <c r="O133" s="3">
        <v>2705</v>
      </c>
      <c r="P133" s="4">
        <f t="shared" si="3"/>
        <v>32488</v>
      </c>
      <c r="Q133" s="1"/>
    </row>
    <row r="134" spans="1:17" ht="13.5" x14ac:dyDescent="0.25">
      <c r="A134" s="1" t="str">
        <f t="shared" si="2"/>
        <v>Honda HR-V</v>
      </c>
      <c r="B134" s="1" t="s">
        <v>37</v>
      </c>
      <c r="C134" s="6" t="s">
        <v>170</v>
      </c>
      <c r="D134" s="3">
        <v>7457</v>
      </c>
      <c r="E134" s="3">
        <v>8114</v>
      </c>
      <c r="F134" s="3">
        <v>3843</v>
      </c>
      <c r="G134" s="3">
        <v>2906</v>
      </c>
      <c r="H134" s="3">
        <v>7063</v>
      </c>
      <c r="I134" s="3">
        <v>7512</v>
      </c>
      <c r="J134" s="3">
        <v>8402</v>
      </c>
      <c r="K134" s="3">
        <v>8942</v>
      </c>
      <c r="L134" s="3">
        <v>7560</v>
      </c>
      <c r="M134" s="3">
        <v>7421</v>
      </c>
      <c r="N134" s="3">
        <v>6379</v>
      </c>
      <c r="O134" s="3">
        <v>8428</v>
      </c>
      <c r="P134" s="4">
        <f t="shared" si="3"/>
        <v>84027</v>
      </c>
      <c r="Q134" s="1"/>
    </row>
    <row r="135" spans="1:17" ht="13.5" x14ac:dyDescent="0.25">
      <c r="A135" s="1" t="str">
        <f t="shared" si="2"/>
        <v>Honda Insight</v>
      </c>
      <c r="B135" s="1" t="s">
        <v>37</v>
      </c>
      <c r="C135" s="6" t="s">
        <v>171</v>
      </c>
      <c r="D135" s="3">
        <v>1433</v>
      </c>
      <c r="E135" s="3">
        <v>1613</v>
      </c>
      <c r="F135" s="3">
        <v>857</v>
      </c>
      <c r="G135" s="3">
        <v>511</v>
      </c>
      <c r="H135" s="3">
        <v>1127</v>
      </c>
      <c r="I135" s="3">
        <v>1423</v>
      </c>
      <c r="J135" s="3">
        <v>1922</v>
      </c>
      <c r="K135" s="3">
        <v>1886</v>
      </c>
      <c r="L135" s="3">
        <v>1472</v>
      </c>
      <c r="M135" s="3">
        <v>1375</v>
      </c>
      <c r="N135" s="3">
        <v>1080</v>
      </c>
      <c r="O135" s="3">
        <v>1233</v>
      </c>
      <c r="P135" s="4">
        <f t="shared" si="3"/>
        <v>15932</v>
      </c>
      <c r="Q135" s="1"/>
    </row>
    <row r="136" spans="1:17" ht="13.5" x14ac:dyDescent="0.25">
      <c r="A136" s="1" t="str">
        <f t="shared" si="2"/>
        <v>Honda Odyssey</v>
      </c>
      <c r="B136" s="1" t="s">
        <v>37</v>
      </c>
      <c r="C136" s="6" t="s">
        <v>172</v>
      </c>
      <c r="D136" s="3">
        <v>5622</v>
      </c>
      <c r="E136" s="3">
        <v>6494</v>
      </c>
      <c r="F136" s="3">
        <v>4274</v>
      </c>
      <c r="G136" s="3">
        <v>3933</v>
      </c>
      <c r="H136" s="3">
        <v>7648</v>
      </c>
      <c r="I136" s="3">
        <v>7946</v>
      </c>
      <c r="J136" s="3">
        <v>7286</v>
      </c>
      <c r="K136" s="3">
        <v>8644</v>
      </c>
      <c r="L136" s="3">
        <v>7844</v>
      </c>
      <c r="M136" s="3">
        <v>8001</v>
      </c>
      <c r="N136" s="3">
        <v>7016</v>
      </c>
      <c r="O136" s="3">
        <v>8701</v>
      </c>
      <c r="P136" s="4">
        <f t="shared" si="3"/>
        <v>83409</v>
      </c>
      <c r="Q136" s="1"/>
    </row>
    <row r="137" spans="1:17" ht="13.5" x14ac:dyDescent="0.25">
      <c r="A137" s="1" t="str">
        <f t="shared" si="2"/>
        <v>Honda Passport</v>
      </c>
      <c r="B137" s="1" t="s">
        <v>37</v>
      </c>
      <c r="C137" s="6" t="s">
        <v>173</v>
      </c>
      <c r="D137" s="3">
        <v>2846</v>
      </c>
      <c r="E137" s="3">
        <v>3109</v>
      </c>
      <c r="F137" s="3">
        <v>1878</v>
      </c>
      <c r="G137" s="3">
        <v>1594</v>
      </c>
      <c r="H137" s="3">
        <v>3536</v>
      </c>
      <c r="I137" s="3">
        <v>3060</v>
      </c>
      <c r="J137" s="3">
        <v>3291</v>
      </c>
      <c r="K137" s="3">
        <v>4070</v>
      </c>
      <c r="L137" s="3">
        <v>4281</v>
      </c>
      <c r="M137" s="3">
        <v>4102</v>
      </c>
      <c r="N137" s="3">
        <v>3456</v>
      </c>
      <c r="O137" s="3">
        <v>4344</v>
      </c>
      <c r="P137" s="4">
        <f t="shared" si="3"/>
        <v>39567</v>
      </c>
      <c r="Q137" s="1"/>
    </row>
    <row r="138" spans="1:17" ht="13.5" x14ac:dyDescent="0.25">
      <c r="A138" s="1" t="str">
        <f t="shared" si="2"/>
        <v>Honda Pilot</v>
      </c>
      <c r="B138" s="1" t="s">
        <v>37</v>
      </c>
      <c r="C138" s="6" t="s">
        <v>174</v>
      </c>
      <c r="D138" s="3">
        <v>7765</v>
      </c>
      <c r="E138" s="3">
        <v>9688</v>
      </c>
      <c r="F138" s="3">
        <v>6445</v>
      </c>
      <c r="G138" s="3">
        <v>6562</v>
      </c>
      <c r="H138" s="3">
        <v>12227</v>
      </c>
      <c r="I138" s="3">
        <v>12128</v>
      </c>
      <c r="J138" s="3">
        <v>12036</v>
      </c>
      <c r="K138" s="3">
        <v>12508</v>
      </c>
      <c r="L138" s="3">
        <v>10643</v>
      </c>
      <c r="M138" s="3">
        <v>11631</v>
      </c>
      <c r="N138" s="3">
        <v>9126</v>
      </c>
      <c r="O138" s="3">
        <v>13054</v>
      </c>
      <c r="P138" s="4">
        <f t="shared" si="3"/>
        <v>123813</v>
      </c>
      <c r="Q138" s="1"/>
    </row>
    <row r="139" spans="1:17" ht="13.5" x14ac:dyDescent="0.25">
      <c r="A139" s="1" t="str">
        <f t="shared" ref="A139:A202" si="4">CONCATENATE(B139," ",C139)</f>
        <v>Honda Ridgeline</v>
      </c>
      <c r="B139" s="1" t="s">
        <v>37</v>
      </c>
      <c r="C139" s="6" t="s">
        <v>175</v>
      </c>
      <c r="D139" s="3">
        <v>3083</v>
      </c>
      <c r="E139" s="3">
        <v>3210</v>
      </c>
      <c r="F139" s="3">
        <v>1832</v>
      </c>
      <c r="G139" s="3">
        <v>1460</v>
      </c>
      <c r="H139" s="3">
        <v>2553</v>
      </c>
      <c r="I139" s="3">
        <v>2367</v>
      </c>
      <c r="J139" s="3">
        <v>2771</v>
      </c>
      <c r="K139" s="3">
        <v>3081</v>
      </c>
      <c r="L139" s="3">
        <v>2755</v>
      </c>
      <c r="M139" s="3">
        <v>3401</v>
      </c>
      <c r="N139" s="3">
        <v>2528</v>
      </c>
      <c r="O139" s="3">
        <v>3127</v>
      </c>
      <c r="P139" s="4">
        <f t="shared" ref="P139:P202" si="5">SUM(D139:O139)</f>
        <v>32168</v>
      </c>
      <c r="Q139" s="1"/>
    </row>
    <row r="140" spans="1:17" ht="13.5" x14ac:dyDescent="0.25">
      <c r="A140" s="1" t="str">
        <f t="shared" si="4"/>
        <v>Hyundai Accent</v>
      </c>
      <c r="B140" s="1" t="s">
        <v>38</v>
      </c>
      <c r="C140" s="6" t="s">
        <v>177</v>
      </c>
      <c r="D140" s="3">
        <v>1565</v>
      </c>
      <c r="E140" s="3">
        <v>2046</v>
      </c>
      <c r="F140" s="3">
        <v>1196</v>
      </c>
      <c r="G140" s="3">
        <v>736</v>
      </c>
      <c r="H140" s="3">
        <v>1512</v>
      </c>
      <c r="I140" s="3">
        <v>1239</v>
      </c>
      <c r="J140" s="3">
        <v>1538</v>
      </c>
      <c r="K140" s="3">
        <v>1135</v>
      </c>
      <c r="L140" s="3">
        <v>1348</v>
      </c>
      <c r="M140" s="3">
        <v>1129</v>
      </c>
      <c r="N140" s="3">
        <v>972</v>
      </c>
      <c r="O140" s="3">
        <v>1559</v>
      </c>
      <c r="P140" s="4">
        <f t="shared" si="5"/>
        <v>15975</v>
      </c>
      <c r="Q140" s="1"/>
    </row>
    <row r="141" spans="1:17" ht="13.5" x14ac:dyDescent="0.25">
      <c r="A141" s="1" t="str">
        <f t="shared" si="4"/>
        <v>Hyundai Elantra</v>
      </c>
      <c r="B141" s="1" t="s">
        <v>38</v>
      </c>
      <c r="C141" s="6" t="s">
        <v>178</v>
      </c>
      <c r="D141" s="3">
        <v>7874</v>
      </c>
      <c r="E141" s="3">
        <v>10441</v>
      </c>
      <c r="F141" s="3">
        <v>7430</v>
      </c>
      <c r="G141" s="3">
        <v>7536</v>
      </c>
      <c r="H141" s="3">
        <v>7608</v>
      </c>
      <c r="I141" s="3">
        <v>7561</v>
      </c>
      <c r="J141" s="3">
        <v>9283</v>
      </c>
      <c r="K141" s="3">
        <v>9135</v>
      </c>
      <c r="L141" s="3">
        <v>8235</v>
      </c>
      <c r="M141" s="3">
        <v>11428</v>
      </c>
      <c r="N141" s="3">
        <v>8095</v>
      </c>
      <c r="O141" s="3">
        <v>10849</v>
      </c>
      <c r="P141" s="4">
        <f t="shared" si="5"/>
        <v>105475</v>
      </c>
      <c r="Q141" s="1"/>
    </row>
    <row r="142" spans="1:17" ht="13.5" x14ac:dyDescent="0.25">
      <c r="A142" s="1" t="str">
        <f t="shared" si="4"/>
        <v>Hyundai Ioniq</v>
      </c>
      <c r="B142" s="1" t="s">
        <v>38</v>
      </c>
      <c r="C142" s="6" t="s">
        <v>179</v>
      </c>
      <c r="D142" s="3">
        <v>1278</v>
      </c>
      <c r="E142" s="3">
        <v>1481</v>
      </c>
      <c r="F142" s="3">
        <v>763</v>
      </c>
      <c r="G142" s="3">
        <v>422</v>
      </c>
      <c r="H142" s="3">
        <v>626</v>
      </c>
      <c r="I142" s="3">
        <v>868</v>
      </c>
      <c r="J142" s="3">
        <v>1826</v>
      </c>
      <c r="K142" s="3">
        <v>879</v>
      </c>
      <c r="L142" s="3">
        <v>1096</v>
      </c>
      <c r="M142" s="3">
        <v>1202</v>
      </c>
      <c r="N142" s="3">
        <v>1090</v>
      </c>
      <c r="O142" s="3">
        <v>2039</v>
      </c>
      <c r="P142" s="4">
        <f t="shared" si="5"/>
        <v>13570</v>
      </c>
      <c r="Q142" s="1"/>
    </row>
    <row r="143" spans="1:17" ht="13.5" x14ac:dyDescent="0.25">
      <c r="A143" s="1" t="str">
        <f t="shared" si="4"/>
        <v>Hyundai Kona</v>
      </c>
      <c r="B143" s="1" t="s">
        <v>38</v>
      </c>
      <c r="C143" s="6" t="s">
        <v>180</v>
      </c>
      <c r="D143" s="3">
        <v>4208</v>
      </c>
      <c r="E143" s="3">
        <v>7092</v>
      </c>
      <c r="F143" s="3">
        <v>3874</v>
      </c>
      <c r="G143" s="3">
        <v>3114</v>
      </c>
      <c r="H143" s="3">
        <v>6536</v>
      </c>
      <c r="I143" s="3">
        <v>5943</v>
      </c>
      <c r="J143" s="3">
        <v>7077</v>
      </c>
      <c r="K143" s="3">
        <v>7998</v>
      </c>
      <c r="L143" s="3">
        <v>6971</v>
      </c>
      <c r="M143" s="3">
        <v>6540</v>
      </c>
      <c r="N143" s="3">
        <v>8551</v>
      </c>
      <c r="O143" s="3">
        <v>8349</v>
      </c>
      <c r="P143" s="4">
        <f t="shared" si="5"/>
        <v>76253</v>
      </c>
      <c r="Q143" s="1"/>
    </row>
    <row r="144" spans="1:17" ht="13.5" x14ac:dyDescent="0.25">
      <c r="A144" s="1" t="str">
        <f t="shared" si="4"/>
        <v>Hyundai Nexo</v>
      </c>
      <c r="B144" s="1" t="s">
        <v>38</v>
      </c>
      <c r="C144" s="6" t="s">
        <v>181</v>
      </c>
      <c r="D144" s="3">
        <v>16</v>
      </c>
      <c r="E144" s="3">
        <v>28</v>
      </c>
      <c r="F144" s="3">
        <v>7</v>
      </c>
      <c r="G144" s="3">
        <v>3</v>
      </c>
      <c r="H144" s="3">
        <v>10</v>
      </c>
      <c r="I144" s="3">
        <v>12</v>
      </c>
      <c r="J144" s="3">
        <v>16</v>
      </c>
      <c r="K144" s="3">
        <v>25</v>
      </c>
      <c r="L144" s="3">
        <v>21</v>
      </c>
      <c r="M144" s="3">
        <v>37</v>
      </c>
      <c r="N144" s="3">
        <v>20</v>
      </c>
      <c r="O144" s="3">
        <v>13</v>
      </c>
      <c r="P144" s="4">
        <f t="shared" si="5"/>
        <v>208</v>
      </c>
      <c r="Q144" s="1"/>
    </row>
    <row r="145" spans="1:17" ht="13.5" x14ac:dyDescent="0.25">
      <c r="A145" s="1" t="str">
        <f t="shared" si="4"/>
        <v>Hyundai Palisade</v>
      </c>
      <c r="B145" s="1" t="s">
        <v>38</v>
      </c>
      <c r="C145" s="6" t="s">
        <v>182</v>
      </c>
      <c r="D145" s="3">
        <v>5432</v>
      </c>
      <c r="E145" s="3">
        <v>6967</v>
      </c>
      <c r="F145" s="3">
        <v>3934</v>
      </c>
      <c r="G145" s="3">
        <v>3331</v>
      </c>
      <c r="H145" s="3">
        <v>7866</v>
      </c>
      <c r="I145" s="3">
        <v>8169</v>
      </c>
      <c r="J145" s="3">
        <v>8404</v>
      </c>
      <c r="K145" s="3">
        <v>7983</v>
      </c>
      <c r="L145" s="3">
        <v>7741</v>
      </c>
      <c r="M145" s="3">
        <v>7519</v>
      </c>
      <c r="N145" s="3">
        <v>6436</v>
      </c>
      <c r="O145" s="3">
        <v>8123</v>
      </c>
      <c r="P145" s="4">
        <f t="shared" si="5"/>
        <v>81905</v>
      </c>
      <c r="Q145" s="1"/>
    </row>
    <row r="146" spans="1:17" ht="13.5" x14ac:dyDescent="0.25">
      <c r="A146" s="1" t="str">
        <f t="shared" si="4"/>
        <v>Hyundai Santa Fe</v>
      </c>
      <c r="B146" s="1" t="s">
        <v>38</v>
      </c>
      <c r="C146" s="6" t="s">
        <v>183</v>
      </c>
      <c r="D146" s="3">
        <v>7148</v>
      </c>
      <c r="E146" s="3">
        <v>7152</v>
      </c>
      <c r="F146" s="3">
        <v>6358</v>
      </c>
      <c r="G146" s="3">
        <v>5602</v>
      </c>
      <c r="H146" s="3">
        <v>9549</v>
      </c>
      <c r="I146" s="3">
        <v>8376</v>
      </c>
      <c r="J146" s="3">
        <v>9296</v>
      </c>
      <c r="K146" s="3">
        <v>9129</v>
      </c>
      <c r="L146" s="3">
        <v>8566</v>
      </c>
      <c r="M146" s="3">
        <v>9072</v>
      </c>
      <c r="N146" s="3">
        <v>8765</v>
      </c>
      <c r="O146" s="3">
        <v>12500</v>
      </c>
      <c r="P146" s="4">
        <f t="shared" si="5"/>
        <v>101513</v>
      </c>
      <c r="Q146" s="1"/>
    </row>
    <row r="147" spans="1:17" ht="13.5" x14ac:dyDescent="0.25">
      <c r="A147" s="1" t="str">
        <f t="shared" si="4"/>
        <v>Hyundai Sonata</v>
      </c>
      <c r="B147" s="1" t="s">
        <v>38</v>
      </c>
      <c r="C147" s="6" t="s">
        <v>184</v>
      </c>
      <c r="D147" s="3">
        <v>5501</v>
      </c>
      <c r="E147" s="3">
        <v>6144</v>
      </c>
      <c r="F147" s="3">
        <v>3957</v>
      </c>
      <c r="G147" s="3">
        <v>3428</v>
      </c>
      <c r="H147" s="3">
        <v>5852</v>
      </c>
      <c r="I147" s="3">
        <v>5407</v>
      </c>
      <c r="J147" s="3">
        <v>6834</v>
      </c>
      <c r="K147" s="3">
        <v>7965</v>
      </c>
      <c r="L147" s="3">
        <v>8038</v>
      </c>
      <c r="M147" s="3">
        <v>7570</v>
      </c>
      <c r="N147" s="3">
        <v>8242</v>
      </c>
      <c r="O147" s="3">
        <v>8059</v>
      </c>
      <c r="P147" s="4">
        <f t="shared" si="5"/>
        <v>76997</v>
      </c>
      <c r="Q147" s="1"/>
    </row>
    <row r="148" spans="1:17" ht="13.5" x14ac:dyDescent="0.25">
      <c r="A148" s="1" t="str">
        <f t="shared" si="4"/>
        <v>Hyundai Tuscon</v>
      </c>
      <c r="B148" s="1" t="s">
        <v>38</v>
      </c>
      <c r="C148" s="6" t="s">
        <v>185</v>
      </c>
      <c r="D148" s="3">
        <v>8068</v>
      </c>
      <c r="E148" s="3">
        <v>9594</v>
      </c>
      <c r="F148" s="3">
        <v>6073</v>
      </c>
      <c r="G148" s="3">
        <v>8438</v>
      </c>
      <c r="H148" s="3">
        <v>15552</v>
      </c>
      <c r="I148" s="3">
        <v>10216</v>
      </c>
      <c r="J148" s="3">
        <v>10922</v>
      </c>
      <c r="K148" s="3">
        <v>11632</v>
      </c>
      <c r="L148" s="3">
        <v>10644</v>
      </c>
      <c r="M148" s="3">
        <v>10898</v>
      </c>
      <c r="N148" s="3">
        <v>9739</v>
      </c>
      <c r="O148" s="3">
        <v>11881</v>
      </c>
      <c r="P148" s="4">
        <f t="shared" si="5"/>
        <v>123657</v>
      </c>
      <c r="Q148" s="1"/>
    </row>
    <row r="149" spans="1:17" ht="13.5" x14ac:dyDescent="0.25">
      <c r="A149" s="1" t="str">
        <f t="shared" si="4"/>
        <v>Hyundai Veloster</v>
      </c>
      <c r="B149" s="1" t="s">
        <v>38</v>
      </c>
      <c r="C149" s="6" t="s">
        <v>186</v>
      </c>
      <c r="D149" s="3">
        <v>665</v>
      </c>
      <c r="E149" s="3">
        <v>842</v>
      </c>
      <c r="F149" s="3">
        <v>575</v>
      </c>
      <c r="G149" s="3">
        <v>541</v>
      </c>
      <c r="H149" s="3">
        <v>858</v>
      </c>
      <c r="I149" s="3">
        <v>0</v>
      </c>
      <c r="J149" s="3">
        <v>861</v>
      </c>
      <c r="K149" s="3">
        <v>836</v>
      </c>
      <c r="L149" s="3">
        <v>601</v>
      </c>
      <c r="M149" s="3">
        <v>443</v>
      </c>
      <c r="N149" s="3">
        <v>296</v>
      </c>
      <c r="O149" s="3">
        <v>267</v>
      </c>
      <c r="P149" s="4">
        <f t="shared" si="5"/>
        <v>6785</v>
      </c>
      <c r="Q149" s="1"/>
    </row>
    <row r="150" spans="1:17" ht="13.5" x14ac:dyDescent="0.25">
      <c r="A150" s="1" t="str">
        <f t="shared" si="4"/>
        <v>Hyundai Venue</v>
      </c>
      <c r="B150" s="1" t="s">
        <v>38</v>
      </c>
      <c r="C150" s="6" t="s">
        <v>187</v>
      </c>
      <c r="D150" s="3">
        <v>989</v>
      </c>
      <c r="E150" s="3">
        <v>1226</v>
      </c>
      <c r="F150" s="3">
        <v>951</v>
      </c>
      <c r="G150" s="3">
        <v>817</v>
      </c>
      <c r="H150" s="3">
        <v>1650</v>
      </c>
      <c r="I150" s="3">
        <v>0</v>
      </c>
      <c r="J150" s="3">
        <v>1620</v>
      </c>
      <c r="K150" s="3">
        <v>1644</v>
      </c>
      <c r="L150" s="3">
        <v>1529</v>
      </c>
      <c r="M150" s="3">
        <v>1557</v>
      </c>
      <c r="N150" s="3">
        <v>2965</v>
      </c>
      <c r="O150" s="3">
        <v>2639</v>
      </c>
      <c r="P150" s="4">
        <f t="shared" si="5"/>
        <v>17587</v>
      </c>
      <c r="Q150" s="1"/>
    </row>
    <row r="151" spans="1:17" ht="13.5" x14ac:dyDescent="0.25">
      <c r="A151" s="1" t="str">
        <f t="shared" si="4"/>
        <v>Infiniti Q50</v>
      </c>
      <c r="B151" s="1" t="s">
        <v>39</v>
      </c>
      <c r="C151" s="6" t="s">
        <v>188</v>
      </c>
      <c r="D151" s="3">
        <v>1811</v>
      </c>
      <c r="E151" s="3">
        <v>2344</v>
      </c>
      <c r="F151" s="3">
        <v>1420</v>
      </c>
      <c r="G151" s="3">
        <v>656</v>
      </c>
      <c r="H151" s="3">
        <v>1457</v>
      </c>
      <c r="I151" s="3">
        <v>1530</v>
      </c>
      <c r="J151" s="3">
        <v>1356</v>
      </c>
      <c r="K151" s="3">
        <v>1206</v>
      </c>
      <c r="L151" s="3">
        <v>1306</v>
      </c>
      <c r="M151" s="3">
        <v>1163</v>
      </c>
      <c r="N151" s="3">
        <v>955</v>
      </c>
      <c r="O151" s="3">
        <v>1329</v>
      </c>
      <c r="P151" s="4">
        <f t="shared" si="5"/>
        <v>16533</v>
      </c>
      <c r="Q151" s="1"/>
    </row>
    <row r="152" spans="1:17" ht="13.5" x14ac:dyDescent="0.25">
      <c r="A152" s="1" t="str">
        <f t="shared" si="4"/>
        <v>Infiniti Q60</v>
      </c>
      <c r="B152" s="1" t="s">
        <v>39</v>
      </c>
      <c r="C152" s="6" t="s">
        <v>189</v>
      </c>
      <c r="D152" s="3">
        <v>301</v>
      </c>
      <c r="E152" s="3">
        <v>390</v>
      </c>
      <c r="F152" s="3">
        <v>236</v>
      </c>
      <c r="G152" s="3">
        <v>139</v>
      </c>
      <c r="H152" s="3">
        <v>308</v>
      </c>
      <c r="I152" s="3">
        <v>323</v>
      </c>
      <c r="J152" s="3">
        <v>207</v>
      </c>
      <c r="K152" s="3">
        <v>184</v>
      </c>
      <c r="L152" s="3">
        <v>199</v>
      </c>
      <c r="M152" s="3">
        <v>171</v>
      </c>
      <c r="N152" s="3">
        <v>140</v>
      </c>
      <c r="O152" s="3">
        <v>195</v>
      </c>
      <c r="P152" s="4">
        <f t="shared" si="5"/>
        <v>2793</v>
      </c>
      <c r="Q152" s="1"/>
    </row>
    <row r="153" spans="1:17" ht="13.5" x14ac:dyDescent="0.25">
      <c r="A153" s="1" t="str">
        <f t="shared" si="4"/>
        <v>Infiniti Q70</v>
      </c>
      <c r="B153" s="1" t="s">
        <v>39</v>
      </c>
      <c r="C153" s="6" t="s">
        <v>190</v>
      </c>
      <c r="D153" s="3">
        <v>37</v>
      </c>
      <c r="E153" s="3">
        <v>48</v>
      </c>
      <c r="F153" s="3">
        <v>29</v>
      </c>
      <c r="G153" s="3">
        <v>3</v>
      </c>
      <c r="H153" s="3">
        <v>6</v>
      </c>
      <c r="I153" s="3">
        <v>6</v>
      </c>
      <c r="J153" s="3">
        <v>2</v>
      </c>
      <c r="K153" s="3">
        <v>2</v>
      </c>
      <c r="L153" s="3">
        <v>2</v>
      </c>
      <c r="M153" s="3">
        <v>1</v>
      </c>
      <c r="N153" s="3">
        <v>1</v>
      </c>
      <c r="O153" s="3">
        <v>2</v>
      </c>
      <c r="P153" s="4">
        <f t="shared" si="5"/>
        <v>139</v>
      </c>
      <c r="Q153" s="1"/>
    </row>
    <row r="154" spans="1:17" ht="13.5" x14ac:dyDescent="0.25">
      <c r="A154" s="1" t="str">
        <f t="shared" si="4"/>
        <v>Infiniti QX30</v>
      </c>
      <c r="B154" s="1" t="s">
        <v>39</v>
      </c>
      <c r="C154" s="6" t="s">
        <v>191</v>
      </c>
      <c r="D154" s="3">
        <v>36</v>
      </c>
      <c r="E154" s="3">
        <v>47</v>
      </c>
      <c r="F154" s="3">
        <v>29</v>
      </c>
      <c r="G154" s="3">
        <v>4</v>
      </c>
      <c r="H154" s="3">
        <v>8</v>
      </c>
      <c r="I154" s="3">
        <v>9</v>
      </c>
      <c r="J154" s="3">
        <v>5</v>
      </c>
      <c r="K154" s="3">
        <v>4</v>
      </c>
      <c r="L154" s="3">
        <v>4</v>
      </c>
      <c r="M154" s="3">
        <v>1</v>
      </c>
      <c r="N154" s="3">
        <v>1</v>
      </c>
      <c r="O154" s="3">
        <v>1</v>
      </c>
      <c r="P154" s="4">
        <f t="shared" si="5"/>
        <v>149</v>
      </c>
      <c r="Q154" s="1"/>
    </row>
    <row r="155" spans="1:17" ht="13.5" x14ac:dyDescent="0.25">
      <c r="A155" s="1" t="str">
        <f t="shared" si="4"/>
        <v>Infiniti QX50</v>
      </c>
      <c r="B155" s="1" t="s">
        <v>39</v>
      </c>
      <c r="C155" s="6" t="s">
        <v>192</v>
      </c>
      <c r="D155" s="3">
        <v>1354</v>
      </c>
      <c r="E155" s="3">
        <v>1753</v>
      </c>
      <c r="F155" s="3">
        <v>1062</v>
      </c>
      <c r="G155" s="3">
        <v>882</v>
      </c>
      <c r="H155" s="3">
        <v>1960</v>
      </c>
      <c r="I155" s="3">
        <v>2058</v>
      </c>
      <c r="J155" s="3">
        <v>1929</v>
      </c>
      <c r="K155" s="3">
        <v>1714</v>
      </c>
      <c r="L155" s="3">
        <v>1857</v>
      </c>
      <c r="M155" s="3">
        <v>2131</v>
      </c>
      <c r="N155" s="3">
        <v>1750</v>
      </c>
      <c r="O155" s="3">
        <v>2435</v>
      </c>
      <c r="P155" s="4">
        <f t="shared" si="5"/>
        <v>20885</v>
      </c>
      <c r="Q155" s="1"/>
    </row>
    <row r="156" spans="1:17" ht="13.5" x14ac:dyDescent="0.25">
      <c r="A156" s="1" t="str">
        <f t="shared" si="4"/>
        <v>Infiniti QX60</v>
      </c>
      <c r="B156" s="1" t="s">
        <v>39</v>
      </c>
      <c r="C156" s="6" t="s">
        <v>193</v>
      </c>
      <c r="D156" s="3">
        <v>2943</v>
      </c>
      <c r="E156" s="3">
        <v>3810</v>
      </c>
      <c r="F156" s="3">
        <v>2308</v>
      </c>
      <c r="G156" s="3">
        <v>560</v>
      </c>
      <c r="H156" s="3">
        <v>1244</v>
      </c>
      <c r="I156" s="3">
        <v>1306</v>
      </c>
      <c r="J156" s="3">
        <v>1870</v>
      </c>
      <c r="K156" s="3">
        <v>1663</v>
      </c>
      <c r="L156" s="3">
        <v>1801</v>
      </c>
      <c r="M156" s="3">
        <v>1813</v>
      </c>
      <c r="N156" s="3">
        <v>1489</v>
      </c>
      <c r="O156" s="3">
        <v>2072</v>
      </c>
      <c r="P156" s="4">
        <f t="shared" si="5"/>
        <v>22879</v>
      </c>
      <c r="Q156" s="1"/>
    </row>
    <row r="157" spans="1:17" ht="13.5" x14ac:dyDescent="0.25">
      <c r="A157" s="1" t="str">
        <f t="shared" si="4"/>
        <v>Infiniti QX80</v>
      </c>
      <c r="B157" s="1" t="s">
        <v>39</v>
      </c>
      <c r="C157" s="6" t="s">
        <v>194</v>
      </c>
      <c r="D157" s="3">
        <v>1818</v>
      </c>
      <c r="E157" s="3">
        <v>2354</v>
      </c>
      <c r="F157" s="3">
        <v>1426</v>
      </c>
      <c r="G157" s="3">
        <v>655</v>
      </c>
      <c r="H157" s="3">
        <v>1455</v>
      </c>
      <c r="I157" s="3">
        <v>1528</v>
      </c>
      <c r="J157" s="3">
        <v>721</v>
      </c>
      <c r="K157" s="3">
        <v>641</v>
      </c>
      <c r="L157" s="3">
        <v>695</v>
      </c>
      <c r="M157" s="3">
        <v>1630</v>
      </c>
      <c r="N157" s="3">
        <v>1339</v>
      </c>
      <c r="O157" s="3">
        <v>1863</v>
      </c>
      <c r="P157" s="4">
        <f t="shared" si="5"/>
        <v>16125</v>
      </c>
      <c r="Q157" s="1"/>
    </row>
    <row r="158" spans="1:17" ht="13.5" x14ac:dyDescent="0.25">
      <c r="A158" s="1" t="str">
        <f t="shared" si="4"/>
        <v>Jaguar E-Pace</v>
      </c>
      <c r="B158" s="1" t="s">
        <v>40</v>
      </c>
      <c r="C158" s="6" t="s">
        <v>195</v>
      </c>
      <c r="D158" s="3">
        <v>443</v>
      </c>
      <c r="E158" s="3">
        <v>393</v>
      </c>
      <c r="F158" s="3">
        <v>410</v>
      </c>
      <c r="G158" s="3">
        <v>117</v>
      </c>
      <c r="H158" s="3">
        <v>260</v>
      </c>
      <c r="I158" s="3">
        <v>273</v>
      </c>
      <c r="J158" s="3">
        <v>316</v>
      </c>
      <c r="K158" s="3">
        <v>281</v>
      </c>
      <c r="L158" s="3">
        <v>304</v>
      </c>
      <c r="M158" s="3">
        <v>304</v>
      </c>
      <c r="N158" s="3">
        <v>248</v>
      </c>
      <c r="O158" s="3">
        <v>347</v>
      </c>
      <c r="P158" s="4">
        <f t="shared" si="5"/>
        <v>3696</v>
      </c>
      <c r="Q158" s="1"/>
    </row>
    <row r="159" spans="1:17" ht="13.5" x14ac:dyDescent="0.25">
      <c r="A159" s="1" t="str">
        <f t="shared" si="4"/>
        <v>Jaguar F-Pace</v>
      </c>
      <c r="B159" s="1" t="s">
        <v>40</v>
      </c>
      <c r="C159" s="6" t="s">
        <v>196</v>
      </c>
      <c r="D159" s="3">
        <v>1418</v>
      </c>
      <c r="E159" s="3">
        <v>1261</v>
      </c>
      <c r="F159" s="3">
        <v>1313</v>
      </c>
      <c r="G159" s="3">
        <v>342</v>
      </c>
      <c r="H159" s="3">
        <v>760</v>
      </c>
      <c r="I159" s="3">
        <v>798</v>
      </c>
      <c r="J159" s="3">
        <v>701</v>
      </c>
      <c r="K159" s="3">
        <v>623</v>
      </c>
      <c r="L159" s="3">
        <v>675</v>
      </c>
      <c r="M159" s="3">
        <v>1012</v>
      </c>
      <c r="N159" s="3">
        <v>831</v>
      </c>
      <c r="O159" s="3">
        <v>1157</v>
      </c>
      <c r="P159" s="4">
        <f t="shared" si="5"/>
        <v>10891</v>
      </c>
      <c r="Q159" s="1"/>
    </row>
    <row r="160" spans="1:17" ht="13.5" x14ac:dyDescent="0.25">
      <c r="A160" s="1" t="str">
        <f t="shared" si="4"/>
        <v>Jaguar F-Type</v>
      </c>
      <c r="B160" s="1" t="s">
        <v>40</v>
      </c>
      <c r="C160" s="6" t="s">
        <v>197</v>
      </c>
      <c r="D160" s="3">
        <v>181</v>
      </c>
      <c r="E160" s="3">
        <v>161</v>
      </c>
      <c r="F160" s="3">
        <v>168</v>
      </c>
      <c r="G160" s="3">
        <v>52</v>
      </c>
      <c r="H160" s="3">
        <v>116</v>
      </c>
      <c r="I160" s="3">
        <v>122</v>
      </c>
      <c r="J160" s="3">
        <v>140</v>
      </c>
      <c r="K160" s="3">
        <v>125</v>
      </c>
      <c r="L160" s="3">
        <v>135</v>
      </c>
      <c r="M160" s="3">
        <v>169</v>
      </c>
      <c r="N160" s="3">
        <v>139</v>
      </c>
      <c r="O160" s="3">
        <v>193</v>
      </c>
      <c r="P160" s="4">
        <f t="shared" si="5"/>
        <v>1701</v>
      </c>
      <c r="Q160" s="1"/>
    </row>
    <row r="161" spans="1:17" ht="13.5" x14ac:dyDescent="0.25">
      <c r="A161" s="1" t="str">
        <f t="shared" si="4"/>
        <v>Jaguar I-Pace</v>
      </c>
      <c r="B161" s="1" t="s">
        <v>40</v>
      </c>
      <c r="C161" s="6" t="s">
        <v>198</v>
      </c>
      <c r="D161" s="3">
        <v>158</v>
      </c>
      <c r="E161" s="3">
        <v>141</v>
      </c>
      <c r="F161" s="3">
        <v>147</v>
      </c>
      <c r="G161" s="3">
        <v>108</v>
      </c>
      <c r="H161" s="3">
        <v>240</v>
      </c>
      <c r="I161" s="3">
        <v>252</v>
      </c>
      <c r="J161" s="3">
        <v>175</v>
      </c>
      <c r="K161" s="3">
        <v>156</v>
      </c>
      <c r="L161" s="3">
        <v>169</v>
      </c>
      <c r="M161" s="3">
        <v>135</v>
      </c>
      <c r="N161" s="3">
        <v>111</v>
      </c>
      <c r="O161" s="3">
        <v>154</v>
      </c>
      <c r="P161" s="4">
        <f t="shared" si="5"/>
        <v>1946</v>
      </c>
      <c r="Q161" s="1"/>
    </row>
    <row r="162" spans="1:17" ht="13.5" x14ac:dyDescent="0.25">
      <c r="A162" s="1" t="str">
        <f t="shared" si="4"/>
        <v>Jaguar XE</v>
      </c>
      <c r="B162" s="1" t="s">
        <v>40</v>
      </c>
      <c r="C162" s="6" t="s">
        <v>199</v>
      </c>
      <c r="D162" s="3">
        <v>187</v>
      </c>
      <c r="E162" s="3">
        <v>166</v>
      </c>
      <c r="F162" s="3">
        <v>173</v>
      </c>
      <c r="G162" s="3">
        <v>65</v>
      </c>
      <c r="H162" s="3">
        <v>144</v>
      </c>
      <c r="I162" s="3">
        <v>151</v>
      </c>
      <c r="J162" s="3">
        <v>140</v>
      </c>
      <c r="K162" s="3">
        <v>125</v>
      </c>
      <c r="L162" s="3">
        <v>135</v>
      </c>
      <c r="M162" s="3">
        <v>135</v>
      </c>
      <c r="N162" s="3">
        <v>111</v>
      </c>
      <c r="O162" s="3">
        <v>154</v>
      </c>
      <c r="P162" s="4">
        <f t="shared" si="5"/>
        <v>1686</v>
      </c>
      <c r="Q162" s="1"/>
    </row>
    <row r="163" spans="1:17" ht="13.5" x14ac:dyDescent="0.25">
      <c r="A163" s="1" t="str">
        <f t="shared" si="4"/>
        <v>Jaguar XF</v>
      </c>
      <c r="B163" s="1" t="s">
        <v>40</v>
      </c>
      <c r="C163" s="6" t="s">
        <v>200</v>
      </c>
      <c r="D163" s="3">
        <v>67</v>
      </c>
      <c r="E163" s="3">
        <v>60</v>
      </c>
      <c r="F163" s="3">
        <v>62</v>
      </c>
      <c r="G163" s="3">
        <v>29</v>
      </c>
      <c r="H163" s="3">
        <v>64</v>
      </c>
      <c r="I163" s="3">
        <v>67</v>
      </c>
      <c r="J163" s="3">
        <v>70</v>
      </c>
      <c r="K163" s="3">
        <v>62</v>
      </c>
      <c r="L163" s="3">
        <v>68</v>
      </c>
      <c r="M163" s="3">
        <v>67</v>
      </c>
      <c r="N163" s="3">
        <v>55</v>
      </c>
      <c r="O163" s="3">
        <v>77</v>
      </c>
      <c r="P163" s="4">
        <f t="shared" si="5"/>
        <v>748</v>
      </c>
      <c r="Q163" s="1"/>
    </row>
    <row r="164" spans="1:17" ht="13.5" x14ac:dyDescent="0.25">
      <c r="A164" s="1" t="str">
        <f t="shared" si="4"/>
        <v>Jaguar XJ</v>
      </c>
      <c r="B164" s="1" t="s">
        <v>40</v>
      </c>
      <c r="C164" s="6" t="s">
        <v>201</v>
      </c>
      <c r="D164" s="3">
        <v>127</v>
      </c>
      <c r="E164" s="3">
        <v>113</v>
      </c>
      <c r="F164" s="3">
        <v>117</v>
      </c>
      <c r="G164" s="3">
        <v>65</v>
      </c>
      <c r="H164" s="3">
        <v>144</v>
      </c>
      <c r="I164" s="3">
        <v>151</v>
      </c>
      <c r="J164" s="3">
        <v>105</v>
      </c>
      <c r="K164" s="3">
        <v>94</v>
      </c>
      <c r="L164" s="3">
        <v>101</v>
      </c>
      <c r="M164" s="3">
        <v>34</v>
      </c>
      <c r="N164" s="3">
        <v>28</v>
      </c>
      <c r="O164" s="3">
        <v>39</v>
      </c>
      <c r="P164" s="4">
        <f t="shared" si="5"/>
        <v>1118</v>
      </c>
      <c r="Q164" s="1"/>
    </row>
    <row r="165" spans="1:17" ht="13.5" x14ac:dyDescent="0.25">
      <c r="A165" s="1" t="str">
        <f t="shared" si="4"/>
        <v>Jeep Cherokee</v>
      </c>
      <c r="B165" s="1" t="s">
        <v>41</v>
      </c>
      <c r="C165" s="6" t="s">
        <v>202</v>
      </c>
      <c r="D165" s="3">
        <v>10938</v>
      </c>
      <c r="E165" s="3">
        <v>14160</v>
      </c>
      <c r="F165" s="3">
        <v>8577</v>
      </c>
      <c r="G165" s="3">
        <v>4187</v>
      </c>
      <c r="H165" s="3">
        <v>9305</v>
      </c>
      <c r="I165" s="3">
        <v>9770</v>
      </c>
      <c r="J165" s="3">
        <v>14370</v>
      </c>
      <c r="K165" s="3">
        <v>12773</v>
      </c>
      <c r="L165" s="3">
        <v>13838</v>
      </c>
      <c r="M165" s="3">
        <v>12798</v>
      </c>
      <c r="N165" s="3">
        <v>10512</v>
      </c>
      <c r="O165" s="3">
        <v>14626</v>
      </c>
      <c r="P165" s="4">
        <f t="shared" si="5"/>
        <v>135854</v>
      </c>
      <c r="Q165" s="1"/>
    </row>
    <row r="166" spans="1:17" ht="13.5" x14ac:dyDescent="0.25">
      <c r="A166" s="1" t="str">
        <f t="shared" si="4"/>
        <v>Jeep Compass</v>
      </c>
      <c r="B166" s="1" t="s">
        <v>41</v>
      </c>
      <c r="C166" s="6" t="s">
        <v>203</v>
      </c>
      <c r="D166" s="3">
        <v>9686</v>
      </c>
      <c r="E166" s="3">
        <v>12539</v>
      </c>
      <c r="F166" s="3">
        <v>7595</v>
      </c>
      <c r="G166" s="3">
        <v>3312</v>
      </c>
      <c r="H166" s="3">
        <v>7360</v>
      </c>
      <c r="I166" s="3">
        <v>7728</v>
      </c>
      <c r="J166" s="3">
        <v>10375</v>
      </c>
      <c r="K166" s="3">
        <v>9222</v>
      </c>
      <c r="L166" s="3">
        <v>9991</v>
      </c>
      <c r="M166" s="3">
        <v>10174</v>
      </c>
      <c r="N166" s="3">
        <v>8358</v>
      </c>
      <c r="O166" s="3">
        <v>11628</v>
      </c>
      <c r="P166" s="4">
        <f t="shared" si="5"/>
        <v>107968</v>
      </c>
      <c r="Q166" s="1"/>
    </row>
    <row r="167" spans="1:17" ht="13.5" x14ac:dyDescent="0.25">
      <c r="A167" s="1" t="str">
        <f t="shared" si="4"/>
        <v>Jeep Gladiator</v>
      </c>
      <c r="B167" s="1" t="s">
        <v>41</v>
      </c>
      <c r="C167" s="6" t="s">
        <v>204</v>
      </c>
      <c r="D167" s="3">
        <v>4956</v>
      </c>
      <c r="E167" s="3">
        <v>6416</v>
      </c>
      <c r="F167" s="3">
        <v>3886</v>
      </c>
      <c r="G167" s="3">
        <v>3522</v>
      </c>
      <c r="H167" s="3">
        <v>7827</v>
      </c>
      <c r="I167" s="3">
        <v>8219</v>
      </c>
      <c r="J167" s="3">
        <v>7771</v>
      </c>
      <c r="K167" s="3">
        <v>6908</v>
      </c>
      <c r="L167" s="3">
        <v>7484</v>
      </c>
      <c r="M167" s="3">
        <v>6933</v>
      </c>
      <c r="N167" s="3">
        <v>5695</v>
      </c>
      <c r="O167" s="3">
        <v>7924</v>
      </c>
      <c r="P167" s="4">
        <f t="shared" si="5"/>
        <v>77541</v>
      </c>
      <c r="Q167" s="1"/>
    </row>
    <row r="168" spans="1:17" ht="13.5" x14ac:dyDescent="0.25">
      <c r="A168" s="1" t="str">
        <f t="shared" si="4"/>
        <v>Jeep Grand Cherokee</v>
      </c>
      <c r="B168" s="1" t="s">
        <v>41</v>
      </c>
      <c r="C168" s="6" t="s">
        <v>205</v>
      </c>
      <c r="D168" s="3">
        <v>16267</v>
      </c>
      <c r="E168" s="3">
        <v>21060</v>
      </c>
      <c r="F168" s="3">
        <v>12756</v>
      </c>
      <c r="G168" s="3">
        <v>8339</v>
      </c>
      <c r="H168" s="3">
        <v>18530</v>
      </c>
      <c r="I168" s="3">
        <v>19457</v>
      </c>
      <c r="J168" s="3">
        <v>19793</v>
      </c>
      <c r="K168" s="3">
        <v>17594</v>
      </c>
      <c r="L168" s="3">
        <v>19060</v>
      </c>
      <c r="M168" s="3">
        <v>19205</v>
      </c>
      <c r="N168" s="3">
        <v>15776</v>
      </c>
      <c r="O168" s="3">
        <v>21949</v>
      </c>
      <c r="P168" s="4">
        <f t="shared" si="5"/>
        <v>209786</v>
      </c>
      <c r="Q168" s="1"/>
    </row>
    <row r="169" spans="1:17" ht="13.5" x14ac:dyDescent="0.25">
      <c r="A169" s="1" t="str">
        <f t="shared" si="4"/>
        <v>Jeep Renegade</v>
      </c>
      <c r="B169" s="1" t="s">
        <v>41</v>
      </c>
      <c r="C169" s="6" t="s">
        <v>206</v>
      </c>
      <c r="D169" s="3">
        <v>4600</v>
      </c>
      <c r="E169" s="3">
        <v>5956</v>
      </c>
      <c r="F169" s="3">
        <v>3608</v>
      </c>
      <c r="G169" s="3">
        <v>2285</v>
      </c>
      <c r="H169" s="3">
        <v>5078</v>
      </c>
      <c r="I169" s="3">
        <v>5332</v>
      </c>
      <c r="J169" s="3">
        <v>6649</v>
      </c>
      <c r="K169" s="3">
        <v>5910</v>
      </c>
      <c r="L169" s="3">
        <v>6402</v>
      </c>
      <c r="M169" s="3">
        <v>5744</v>
      </c>
      <c r="N169" s="3">
        <v>4718</v>
      </c>
      <c r="O169" s="3">
        <v>6565</v>
      </c>
      <c r="P169" s="4">
        <f t="shared" si="5"/>
        <v>62847</v>
      </c>
      <c r="Q169" s="1"/>
    </row>
    <row r="170" spans="1:17" ht="13.5" x14ac:dyDescent="0.25">
      <c r="A170" s="1" t="str">
        <f t="shared" si="4"/>
        <v>Jeep Wrangler</v>
      </c>
      <c r="B170" s="1" t="s">
        <v>41</v>
      </c>
      <c r="C170" s="6" t="s">
        <v>207</v>
      </c>
      <c r="D170" s="3">
        <v>12884</v>
      </c>
      <c r="E170" s="3">
        <v>16680</v>
      </c>
      <c r="F170" s="3">
        <v>10103</v>
      </c>
      <c r="G170" s="3">
        <v>10163</v>
      </c>
      <c r="H170" s="3">
        <v>22585</v>
      </c>
      <c r="I170" s="3">
        <v>23714</v>
      </c>
      <c r="J170" s="3">
        <v>18960</v>
      </c>
      <c r="K170" s="3">
        <v>16853</v>
      </c>
      <c r="L170" s="3">
        <v>18258</v>
      </c>
      <c r="M170" s="3">
        <v>17242</v>
      </c>
      <c r="N170" s="3">
        <v>14163</v>
      </c>
      <c r="O170" s="3">
        <v>19705</v>
      </c>
      <c r="P170" s="4">
        <f t="shared" si="5"/>
        <v>201310</v>
      </c>
      <c r="Q170" s="1"/>
    </row>
    <row r="171" spans="1:17" ht="13.5" x14ac:dyDescent="0.25">
      <c r="A171" s="1" t="str">
        <f t="shared" si="4"/>
        <v>Kia Cadenza</v>
      </c>
      <c r="B171" s="1" t="s">
        <v>42</v>
      </c>
      <c r="C171" s="6" t="s">
        <v>208</v>
      </c>
      <c r="D171" s="3">
        <v>197</v>
      </c>
      <c r="E171" s="3">
        <v>192</v>
      </c>
      <c r="F171" s="3">
        <v>96</v>
      </c>
      <c r="G171" s="3">
        <v>50</v>
      </c>
      <c r="H171" s="3">
        <v>70</v>
      </c>
      <c r="I171" s="3">
        <v>65</v>
      </c>
      <c r="J171" s="3">
        <v>100</v>
      </c>
      <c r="K171" s="3">
        <v>53</v>
      </c>
      <c r="L171" s="3">
        <v>99</v>
      </c>
      <c r="M171" s="3">
        <v>115</v>
      </c>
      <c r="N171" s="3">
        <v>99</v>
      </c>
      <c r="O171" s="3">
        <v>129</v>
      </c>
      <c r="P171" s="4">
        <f t="shared" si="5"/>
        <v>1265</v>
      </c>
      <c r="Q171" s="1"/>
    </row>
    <row r="172" spans="1:17" ht="13.5" x14ac:dyDescent="0.25">
      <c r="A172" s="1" t="str">
        <f t="shared" si="4"/>
        <v>Kia Forte</v>
      </c>
      <c r="B172" s="1" t="s">
        <v>42</v>
      </c>
      <c r="C172" s="6" t="s">
        <v>209</v>
      </c>
      <c r="D172" s="3">
        <v>6248</v>
      </c>
      <c r="E172" s="3">
        <v>8513</v>
      </c>
      <c r="F172" s="3">
        <v>7598</v>
      </c>
      <c r="G172" s="3">
        <v>4222</v>
      </c>
      <c r="H172" s="3">
        <v>6603</v>
      </c>
      <c r="I172" s="3">
        <v>6260</v>
      </c>
      <c r="J172" s="3">
        <v>7410</v>
      </c>
      <c r="K172" s="3">
        <v>8414</v>
      </c>
      <c r="L172" s="3">
        <v>7643</v>
      </c>
      <c r="M172" s="3">
        <v>8107</v>
      </c>
      <c r="N172" s="3">
        <v>6860</v>
      </c>
      <c r="O172" s="3">
        <v>7119</v>
      </c>
      <c r="P172" s="4">
        <f t="shared" si="5"/>
        <v>84997</v>
      </c>
      <c r="Q172" s="1"/>
    </row>
    <row r="173" spans="1:17" ht="13.5" x14ac:dyDescent="0.25">
      <c r="A173" s="1" t="str">
        <f t="shared" si="4"/>
        <v>Kia K5</v>
      </c>
      <c r="B173" s="1" t="s">
        <v>42</v>
      </c>
      <c r="C173" s="6" t="s">
        <v>210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1268</v>
      </c>
      <c r="K173" s="3">
        <v>3631</v>
      </c>
      <c r="L173" s="3">
        <v>5763</v>
      </c>
      <c r="M173" s="3">
        <v>7528</v>
      </c>
      <c r="N173" s="3">
        <v>7437</v>
      </c>
      <c r="O173" s="3">
        <v>6029</v>
      </c>
      <c r="P173" s="4">
        <f t="shared" si="5"/>
        <v>31656</v>
      </c>
      <c r="Q173" s="1"/>
    </row>
    <row r="174" spans="1:17" ht="13.5" x14ac:dyDescent="0.25">
      <c r="A174" s="1" t="str">
        <f t="shared" si="4"/>
        <v>Kia K900</v>
      </c>
      <c r="B174" s="1" t="s">
        <v>42</v>
      </c>
      <c r="C174" s="6" t="s">
        <v>211</v>
      </c>
      <c r="D174" s="3">
        <v>26</v>
      </c>
      <c r="E174" s="3">
        <v>23</v>
      </c>
      <c r="F174" s="3">
        <v>16</v>
      </c>
      <c r="G174" s="3">
        <v>12</v>
      </c>
      <c r="H174" s="3">
        <v>25</v>
      </c>
      <c r="I174" s="3">
        <v>23</v>
      </c>
      <c r="J174" s="3">
        <v>25</v>
      </c>
      <c r="K174" s="3">
        <v>34</v>
      </c>
      <c r="L174" s="3">
        <v>25</v>
      </c>
      <c r="M174" s="3">
        <v>41</v>
      </c>
      <c r="N174" s="3">
        <v>22</v>
      </c>
      <c r="O174" s="3">
        <v>33</v>
      </c>
      <c r="P174" s="4">
        <f t="shared" si="5"/>
        <v>305</v>
      </c>
      <c r="Q174" s="1"/>
    </row>
    <row r="175" spans="1:17" ht="13.5" x14ac:dyDescent="0.25">
      <c r="A175" s="1" t="str">
        <f t="shared" si="4"/>
        <v>Kia Niro</v>
      </c>
      <c r="B175" s="1" t="s">
        <v>42</v>
      </c>
      <c r="C175" s="6" t="s">
        <v>212</v>
      </c>
      <c r="D175" s="3">
        <v>1570</v>
      </c>
      <c r="E175" s="3">
        <v>1951</v>
      </c>
      <c r="F175" s="3">
        <v>1454</v>
      </c>
      <c r="G175" s="3">
        <v>774</v>
      </c>
      <c r="H175" s="3">
        <v>1318</v>
      </c>
      <c r="I175" s="3">
        <v>1185</v>
      </c>
      <c r="J175" s="3">
        <v>1307</v>
      </c>
      <c r="K175" s="3">
        <v>1991</v>
      </c>
      <c r="L175" s="3">
        <v>1682</v>
      </c>
      <c r="M175" s="3">
        <v>1524</v>
      </c>
      <c r="N175" s="3">
        <v>1144</v>
      </c>
      <c r="O175" s="3">
        <v>1534</v>
      </c>
      <c r="P175" s="4">
        <f t="shared" si="5"/>
        <v>17434</v>
      </c>
      <c r="Q175" s="1"/>
    </row>
    <row r="176" spans="1:17" ht="13.5" x14ac:dyDescent="0.25">
      <c r="A176" s="1" t="str">
        <f t="shared" si="4"/>
        <v>Kia Optima</v>
      </c>
      <c r="B176" s="1" t="s">
        <v>42</v>
      </c>
      <c r="C176" s="6" t="s">
        <v>213</v>
      </c>
      <c r="D176" s="3">
        <v>6177</v>
      </c>
      <c r="E176" s="3">
        <v>5760</v>
      </c>
      <c r="F176" s="3">
        <v>8408</v>
      </c>
      <c r="G176" s="3">
        <v>6894</v>
      </c>
      <c r="H176" s="3">
        <v>5854</v>
      </c>
      <c r="I176" s="3">
        <v>5732</v>
      </c>
      <c r="J176" s="3">
        <v>4949</v>
      </c>
      <c r="K176" s="3">
        <v>3307</v>
      </c>
      <c r="L176" s="3">
        <v>1020</v>
      </c>
      <c r="M176" s="3">
        <v>255</v>
      </c>
      <c r="N176" s="3">
        <v>104</v>
      </c>
      <c r="O176" s="3">
        <v>24</v>
      </c>
      <c r="P176" s="4">
        <f t="shared" si="5"/>
        <v>48484</v>
      </c>
      <c r="Q176" s="1"/>
    </row>
    <row r="177" spans="1:17" ht="13.5" x14ac:dyDescent="0.25">
      <c r="A177" s="1" t="str">
        <f t="shared" si="4"/>
        <v>Kia Rio</v>
      </c>
      <c r="B177" s="1" t="s">
        <v>42</v>
      </c>
      <c r="C177" s="6" t="s">
        <v>214</v>
      </c>
      <c r="D177" s="3">
        <v>1628</v>
      </c>
      <c r="E177" s="3">
        <v>3082</v>
      </c>
      <c r="F177" s="3">
        <v>2135</v>
      </c>
      <c r="G177" s="3">
        <v>1436</v>
      </c>
      <c r="H177" s="3">
        <v>1760</v>
      </c>
      <c r="I177" s="3">
        <v>1706</v>
      </c>
      <c r="J177" s="3">
        <v>2056</v>
      </c>
      <c r="K177" s="3">
        <v>2097</v>
      </c>
      <c r="L177" s="3">
        <v>2143</v>
      </c>
      <c r="M177" s="3">
        <v>2104</v>
      </c>
      <c r="N177" s="3">
        <v>1728</v>
      </c>
      <c r="O177" s="3">
        <v>2052</v>
      </c>
      <c r="P177" s="4">
        <f t="shared" si="5"/>
        <v>23927</v>
      </c>
      <c r="Q177" s="1"/>
    </row>
    <row r="178" spans="1:17" ht="13.5" x14ac:dyDescent="0.25">
      <c r="A178" s="1" t="str">
        <f t="shared" si="4"/>
        <v>Kia Sedona</v>
      </c>
      <c r="B178" s="1" t="s">
        <v>42</v>
      </c>
      <c r="C178" s="6" t="s">
        <v>215</v>
      </c>
      <c r="D178" s="3">
        <v>1012</v>
      </c>
      <c r="E178" s="3">
        <v>1416</v>
      </c>
      <c r="F178" s="3">
        <v>1180</v>
      </c>
      <c r="G178" s="3">
        <v>705</v>
      </c>
      <c r="H178" s="3">
        <v>1482</v>
      </c>
      <c r="I178" s="3">
        <v>1219</v>
      </c>
      <c r="J178" s="3">
        <v>1036</v>
      </c>
      <c r="K178" s="3">
        <v>1036</v>
      </c>
      <c r="L178" s="3">
        <v>1045</v>
      </c>
      <c r="M178" s="3">
        <v>1029</v>
      </c>
      <c r="N178" s="3">
        <v>797</v>
      </c>
      <c r="O178" s="3">
        <v>1233</v>
      </c>
      <c r="P178" s="4">
        <f t="shared" si="5"/>
        <v>13190</v>
      </c>
      <c r="Q178" s="1"/>
    </row>
    <row r="179" spans="1:17" ht="13.5" x14ac:dyDescent="0.25">
      <c r="A179" s="1" t="str">
        <f t="shared" si="4"/>
        <v>Kia Seltos</v>
      </c>
      <c r="B179" s="1" t="s">
        <v>42</v>
      </c>
      <c r="C179" s="6" t="s">
        <v>216</v>
      </c>
      <c r="D179" s="3">
        <v>94</v>
      </c>
      <c r="E179" s="3">
        <v>2798</v>
      </c>
      <c r="F179" s="3">
        <v>2160</v>
      </c>
      <c r="G179" s="3">
        <v>1839</v>
      </c>
      <c r="H179" s="3">
        <v>3551</v>
      </c>
      <c r="I179" s="3">
        <v>3636</v>
      </c>
      <c r="J179" s="3">
        <v>4504</v>
      </c>
      <c r="K179" s="3">
        <v>5314</v>
      </c>
      <c r="L179" s="3">
        <v>5613</v>
      </c>
      <c r="M179" s="3">
        <v>5542</v>
      </c>
      <c r="N179" s="3">
        <v>5122</v>
      </c>
      <c r="O179" s="3">
        <v>6107</v>
      </c>
      <c r="P179" s="4">
        <f t="shared" si="5"/>
        <v>46280</v>
      </c>
      <c r="Q179" s="1"/>
    </row>
    <row r="180" spans="1:17" ht="13.5" x14ac:dyDescent="0.25">
      <c r="A180" s="1" t="str">
        <f t="shared" si="4"/>
        <v>Kia Sorento</v>
      </c>
      <c r="B180" s="1" t="s">
        <v>42</v>
      </c>
      <c r="C180" s="6" t="s">
        <v>217</v>
      </c>
      <c r="D180" s="3">
        <v>5470</v>
      </c>
      <c r="E180" s="3">
        <v>6875</v>
      </c>
      <c r="F180" s="3">
        <v>5710</v>
      </c>
      <c r="G180" s="3">
        <v>4286</v>
      </c>
      <c r="H180" s="3">
        <v>7262</v>
      </c>
      <c r="I180" s="3">
        <v>8193</v>
      </c>
      <c r="J180" s="3">
        <v>8008</v>
      </c>
      <c r="K180" s="3">
        <v>7809</v>
      </c>
      <c r="L180" s="3">
        <v>6879</v>
      </c>
      <c r="M180" s="3">
        <v>5832</v>
      </c>
      <c r="N180" s="3">
        <v>2938</v>
      </c>
      <c r="O180" s="3">
        <v>5415</v>
      </c>
      <c r="P180" s="4">
        <f t="shared" si="5"/>
        <v>74677</v>
      </c>
      <c r="Q180" s="1"/>
    </row>
    <row r="181" spans="1:17" ht="13.5" x14ac:dyDescent="0.25">
      <c r="A181" s="1" t="str">
        <f t="shared" si="4"/>
        <v>Kia Soul</v>
      </c>
      <c r="B181" s="1" t="s">
        <v>42</v>
      </c>
      <c r="C181" s="6" t="s">
        <v>218</v>
      </c>
      <c r="D181" s="3">
        <v>5530</v>
      </c>
      <c r="E181" s="3">
        <v>5816</v>
      </c>
      <c r="F181" s="3">
        <v>5367</v>
      </c>
      <c r="G181" s="3">
        <v>3565</v>
      </c>
      <c r="H181" s="3">
        <v>6234</v>
      </c>
      <c r="I181" s="3">
        <v>7439</v>
      </c>
      <c r="J181" s="3">
        <v>7622</v>
      </c>
      <c r="K181" s="3">
        <v>6968</v>
      </c>
      <c r="L181" s="3">
        <v>6700</v>
      </c>
      <c r="M181" s="3">
        <v>6318</v>
      </c>
      <c r="N181" s="3">
        <v>4767</v>
      </c>
      <c r="O181" s="3">
        <v>5446</v>
      </c>
      <c r="P181" s="4">
        <f t="shared" si="5"/>
        <v>71772</v>
      </c>
      <c r="Q181" s="1"/>
    </row>
    <row r="182" spans="1:17" ht="13.5" x14ac:dyDescent="0.25">
      <c r="A182" s="1" t="str">
        <f t="shared" si="4"/>
        <v>Kia Sportage</v>
      </c>
      <c r="B182" s="1" t="s">
        <v>42</v>
      </c>
      <c r="C182" s="6" t="s">
        <v>219</v>
      </c>
      <c r="D182" s="3">
        <v>6741</v>
      </c>
      <c r="E182" s="3">
        <v>7934</v>
      </c>
      <c r="F182" s="3">
        <v>5382</v>
      </c>
      <c r="G182" s="3">
        <v>3964</v>
      </c>
      <c r="H182" s="3">
        <v>7576</v>
      </c>
      <c r="I182" s="3">
        <v>8021</v>
      </c>
      <c r="J182" s="3">
        <v>7945</v>
      </c>
      <c r="K182" s="3">
        <v>7672</v>
      </c>
      <c r="L182" s="3">
        <v>7165</v>
      </c>
      <c r="M182" s="3">
        <v>6989</v>
      </c>
      <c r="N182" s="3">
        <v>7039</v>
      </c>
      <c r="O182" s="3">
        <v>7915</v>
      </c>
      <c r="P182" s="4">
        <f t="shared" si="5"/>
        <v>84343</v>
      </c>
      <c r="Q182" s="1"/>
    </row>
    <row r="183" spans="1:17" ht="13.5" x14ac:dyDescent="0.25">
      <c r="A183" s="1" t="str">
        <f t="shared" si="4"/>
        <v>Kia Stinger</v>
      </c>
      <c r="B183" s="1" t="s">
        <v>42</v>
      </c>
      <c r="C183" s="6" t="s">
        <v>220</v>
      </c>
      <c r="D183" s="3">
        <v>743</v>
      </c>
      <c r="E183" s="3">
        <v>1063</v>
      </c>
      <c r="F183" s="3">
        <v>754</v>
      </c>
      <c r="G183" s="3">
        <v>871</v>
      </c>
      <c r="H183" s="3">
        <v>1393</v>
      </c>
      <c r="I183" s="3">
        <v>1527</v>
      </c>
      <c r="J183" s="3">
        <v>1427</v>
      </c>
      <c r="K183" s="3">
        <v>1101</v>
      </c>
      <c r="L183" s="3">
        <v>913</v>
      </c>
      <c r="M183" s="3">
        <v>1013</v>
      </c>
      <c r="N183" s="3">
        <v>847</v>
      </c>
      <c r="O183" s="3">
        <v>904</v>
      </c>
      <c r="P183" s="4">
        <f t="shared" si="5"/>
        <v>12556</v>
      </c>
      <c r="Q183" s="1"/>
    </row>
    <row r="184" spans="1:17" ht="13.5" x14ac:dyDescent="0.25">
      <c r="A184" s="1" t="str">
        <f t="shared" si="4"/>
        <v>Kia Telluride</v>
      </c>
      <c r="B184" s="1" t="s">
        <v>42</v>
      </c>
      <c r="C184" s="6" t="s">
        <v>221</v>
      </c>
      <c r="D184" s="3">
        <v>4919</v>
      </c>
      <c r="E184" s="3">
        <v>6754</v>
      </c>
      <c r="F184" s="3">
        <v>5153</v>
      </c>
      <c r="G184" s="3">
        <v>3087</v>
      </c>
      <c r="H184" s="3">
        <v>2599</v>
      </c>
      <c r="I184" s="3">
        <v>2864</v>
      </c>
      <c r="J184" s="3">
        <v>4822</v>
      </c>
      <c r="K184" s="3">
        <v>7588</v>
      </c>
      <c r="L184" s="3">
        <v>8829</v>
      </c>
      <c r="M184" s="3">
        <v>9687</v>
      </c>
      <c r="N184" s="3">
        <v>8993</v>
      </c>
      <c r="O184" s="3">
        <v>9824</v>
      </c>
      <c r="P184" s="4">
        <f t="shared" si="5"/>
        <v>75119</v>
      </c>
      <c r="Q184" s="1"/>
    </row>
    <row r="185" spans="1:17" ht="13.5" x14ac:dyDescent="0.25">
      <c r="A185" s="1" t="str">
        <f t="shared" si="4"/>
        <v>Land Rover Defender</v>
      </c>
      <c r="B185" s="1" t="s">
        <v>56</v>
      </c>
      <c r="C185" s="6" t="s">
        <v>222</v>
      </c>
      <c r="D185" s="3">
        <v>0</v>
      </c>
      <c r="E185" s="3">
        <v>0</v>
      </c>
      <c r="F185" s="3">
        <v>0</v>
      </c>
      <c r="G185" s="3">
        <v>108</v>
      </c>
      <c r="H185" s="3">
        <v>240</v>
      </c>
      <c r="I185" s="3">
        <v>252</v>
      </c>
      <c r="J185" s="3">
        <v>456</v>
      </c>
      <c r="K185" s="3">
        <v>405</v>
      </c>
      <c r="L185" s="3">
        <v>439</v>
      </c>
      <c r="M185" s="3">
        <v>2429</v>
      </c>
      <c r="N185" s="3">
        <v>1995</v>
      </c>
      <c r="O185" s="3">
        <v>2776</v>
      </c>
      <c r="P185" s="4">
        <f t="shared" si="5"/>
        <v>9100</v>
      </c>
      <c r="Q185" s="1"/>
    </row>
    <row r="186" spans="1:17" ht="13.5" x14ac:dyDescent="0.25">
      <c r="A186" s="1" t="str">
        <f t="shared" si="4"/>
        <v>Land Rover Discovery Sport</v>
      </c>
      <c r="B186" s="1" t="s">
        <v>56</v>
      </c>
      <c r="C186" s="6" t="s">
        <v>224</v>
      </c>
      <c r="D186" s="3">
        <v>874</v>
      </c>
      <c r="E186" s="3">
        <v>777</v>
      </c>
      <c r="F186" s="3">
        <v>809</v>
      </c>
      <c r="G186" s="3">
        <v>252</v>
      </c>
      <c r="H186" s="3">
        <v>560</v>
      </c>
      <c r="I186" s="3">
        <v>588</v>
      </c>
      <c r="J186" s="3">
        <v>701</v>
      </c>
      <c r="K186" s="3">
        <v>623</v>
      </c>
      <c r="L186" s="3">
        <v>675</v>
      </c>
      <c r="M186" s="3">
        <v>641</v>
      </c>
      <c r="N186" s="3">
        <v>527</v>
      </c>
      <c r="O186" s="3">
        <v>733</v>
      </c>
      <c r="P186" s="4">
        <f t="shared" si="5"/>
        <v>7760</v>
      </c>
      <c r="Q186" s="1"/>
    </row>
    <row r="187" spans="1:17" ht="13.5" x14ac:dyDescent="0.25">
      <c r="A187" s="1" t="str">
        <f t="shared" si="4"/>
        <v>Land Rover Discovery/LR4</v>
      </c>
      <c r="B187" s="1" t="s">
        <v>56</v>
      </c>
      <c r="C187" s="6" t="s">
        <v>223</v>
      </c>
      <c r="D187" s="3">
        <v>821</v>
      </c>
      <c r="E187" s="3">
        <v>730</v>
      </c>
      <c r="F187" s="3">
        <v>760</v>
      </c>
      <c r="G187" s="3">
        <v>234</v>
      </c>
      <c r="H187" s="3">
        <v>520</v>
      </c>
      <c r="I187" s="3">
        <v>546</v>
      </c>
      <c r="J187" s="3">
        <v>421</v>
      </c>
      <c r="K187" s="3">
        <v>374</v>
      </c>
      <c r="L187" s="3">
        <v>405</v>
      </c>
      <c r="M187" s="3">
        <v>337</v>
      </c>
      <c r="N187" s="3">
        <v>277</v>
      </c>
      <c r="O187" s="3">
        <v>386</v>
      </c>
      <c r="P187" s="4">
        <f t="shared" si="5"/>
        <v>5811</v>
      </c>
      <c r="Q187" s="1"/>
    </row>
    <row r="188" spans="1:17" ht="13.5" x14ac:dyDescent="0.25">
      <c r="A188" s="1" t="str">
        <f t="shared" si="4"/>
        <v>Land Rover Range Rover</v>
      </c>
      <c r="B188" s="1" t="s">
        <v>56</v>
      </c>
      <c r="C188" s="6" t="s">
        <v>225</v>
      </c>
      <c r="D188" s="3">
        <v>1486</v>
      </c>
      <c r="E188" s="3">
        <v>1321</v>
      </c>
      <c r="F188" s="3">
        <v>1376</v>
      </c>
      <c r="G188" s="3">
        <v>504</v>
      </c>
      <c r="H188" s="3">
        <v>1120</v>
      </c>
      <c r="I188" s="3">
        <v>1176</v>
      </c>
      <c r="J188" s="3">
        <v>1052</v>
      </c>
      <c r="K188" s="3">
        <v>935</v>
      </c>
      <c r="L188" s="3">
        <v>1013</v>
      </c>
      <c r="M188" s="3">
        <v>1349</v>
      </c>
      <c r="N188" s="3">
        <v>1108</v>
      </c>
      <c r="O188" s="3">
        <v>1542</v>
      </c>
      <c r="P188" s="4">
        <f t="shared" si="5"/>
        <v>13982</v>
      </c>
      <c r="Q188" s="1"/>
    </row>
    <row r="189" spans="1:17" ht="13.5" x14ac:dyDescent="0.25">
      <c r="A189" s="1" t="str">
        <f t="shared" si="4"/>
        <v>Land Rover Range Rover Evoque</v>
      </c>
      <c r="B189" s="1" t="s">
        <v>56</v>
      </c>
      <c r="C189" s="6" t="s">
        <v>226</v>
      </c>
      <c r="D189" s="3">
        <v>1389</v>
      </c>
      <c r="E189" s="3">
        <v>1235</v>
      </c>
      <c r="F189" s="3">
        <v>1287</v>
      </c>
      <c r="G189" s="3">
        <v>378</v>
      </c>
      <c r="H189" s="3">
        <v>840</v>
      </c>
      <c r="I189" s="3">
        <v>882</v>
      </c>
      <c r="J189" s="3">
        <v>666</v>
      </c>
      <c r="K189" s="3">
        <v>592</v>
      </c>
      <c r="L189" s="3">
        <v>642</v>
      </c>
      <c r="M189" s="3">
        <v>877</v>
      </c>
      <c r="N189" s="3">
        <v>720</v>
      </c>
      <c r="O189" s="3">
        <v>1002</v>
      </c>
      <c r="P189" s="4">
        <f t="shared" si="5"/>
        <v>10510</v>
      </c>
      <c r="Q189" s="1"/>
    </row>
    <row r="190" spans="1:17" ht="13.5" x14ac:dyDescent="0.25">
      <c r="A190" s="1" t="str">
        <f t="shared" si="4"/>
        <v>Land Rover Range Rover Sport</v>
      </c>
      <c r="B190" s="1" t="s">
        <v>56</v>
      </c>
      <c r="C190" s="6" t="s">
        <v>227</v>
      </c>
      <c r="D190" s="3">
        <v>1938</v>
      </c>
      <c r="E190" s="3">
        <v>1722</v>
      </c>
      <c r="F190" s="3">
        <v>1794</v>
      </c>
      <c r="G190" s="3">
        <v>684</v>
      </c>
      <c r="H190" s="3">
        <v>1520</v>
      </c>
      <c r="I190" s="3">
        <v>1596</v>
      </c>
      <c r="J190" s="3">
        <v>1332</v>
      </c>
      <c r="K190" s="3">
        <v>1184</v>
      </c>
      <c r="L190" s="3">
        <v>1283</v>
      </c>
      <c r="M190" s="3">
        <v>2361</v>
      </c>
      <c r="N190" s="3">
        <v>1940</v>
      </c>
      <c r="O190" s="3">
        <v>2699</v>
      </c>
      <c r="P190" s="4">
        <f t="shared" si="5"/>
        <v>20053</v>
      </c>
      <c r="Q190" s="1"/>
    </row>
    <row r="191" spans="1:17" ht="13.5" x14ac:dyDescent="0.25">
      <c r="A191" s="1" t="str">
        <f t="shared" si="4"/>
        <v>Land Rover Range Rover Velar</v>
      </c>
      <c r="B191" s="1" t="s">
        <v>56</v>
      </c>
      <c r="C191" s="6" t="s">
        <v>228</v>
      </c>
      <c r="D191" s="3">
        <v>1285</v>
      </c>
      <c r="E191" s="3">
        <v>1142</v>
      </c>
      <c r="F191" s="3">
        <v>1190</v>
      </c>
      <c r="G191" s="3">
        <v>450</v>
      </c>
      <c r="H191" s="3">
        <v>1000</v>
      </c>
      <c r="I191" s="3">
        <v>1050</v>
      </c>
      <c r="J191" s="3">
        <v>947</v>
      </c>
      <c r="K191" s="3">
        <v>842</v>
      </c>
      <c r="L191" s="3">
        <v>912</v>
      </c>
      <c r="M191" s="3">
        <v>1349</v>
      </c>
      <c r="N191" s="3">
        <v>1108</v>
      </c>
      <c r="O191" s="3">
        <v>1542</v>
      </c>
      <c r="P191" s="4">
        <f t="shared" si="5"/>
        <v>12817</v>
      </c>
      <c r="Q191" s="1"/>
    </row>
    <row r="192" spans="1:17" ht="13.5" x14ac:dyDescent="0.25">
      <c r="A192" s="1" t="str">
        <f t="shared" si="4"/>
        <v>Lexus ES</v>
      </c>
      <c r="B192" s="1" t="s">
        <v>43</v>
      </c>
      <c r="C192" s="6" t="s">
        <v>229</v>
      </c>
      <c r="D192" s="3">
        <v>3037</v>
      </c>
      <c r="E192" s="3">
        <v>3356</v>
      </c>
      <c r="F192" s="3">
        <v>2854</v>
      </c>
      <c r="G192" s="3">
        <v>1397</v>
      </c>
      <c r="H192" s="3">
        <v>3105</v>
      </c>
      <c r="I192" s="3">
        <v>3260</v>
      </c>
      <c r="J192" s="3">
        <v>3868</v>
      </c>
      <c r="K192" s="3">
        <v>4366</v>
      </c>
      <c r="L192" s="3">
        <v>4541</v>
      </c>
      <c r="M192" s="3">
        <v>4117</v>
      </c>
      <c r="N192" s="3">
        <v>4290</v>
      </c>
      <c r="O192" s="3">
        <v>5101</v>
      </c>
      <c r="P192" s="4">
        <f t="shared" si="5"/>
        <v>43292</v>
      </c>
      <c r="Q192" s="1"/>
    </row>
    <row r="193" spans="1:17" ht="13.5" x14ac:dyDescent="0.25">
      <c r="A193" s="1" t="str">
        <f t="shared" si="4"/>
        <v>Lexus GS</v>
      </c>
      <c r="B193" s="1" t="s">
        <v>43</v>
      </c>
      <c r="C193" s="6" t="s">
        <v>230</v>
      </c>
      <c r="D193" s="3">
        <v>227</v>
      </c>
      <c r="E193" s="3">
        <v>224</v>
      </c>
      <c r="F193" s="3">
        <v>173</v>
      </c>
      <c r="G193" s="3">
        <v>122</v>
      </c>
      <c r="H193" s="3">
        <v>272</v>
      </c>
      <c r="I193" s="3">
        <v>285</v>
      </c>
      <c r="J193" s="3">
        <v>269</v>
      </c>
      <c r="K193" s="3">
        <v>330</v>
      </c>
      <c r="L193" s="3">
        <v>262</v>
      </c>
      <c r="M193" s="3">
        <v>200</v>
      </c>
      <c r="N193" s="3">
        <v>111</v>
      </c>
      <c r="O193" s="3">
        <v>85</v>
      </c>
      <c r="P193" s="4">
        <f t="shared" si="5"/>
        <v>2560</v>
      </c>
      <c r="Q193" s="1"/>
    </row>
    <row r="194" spans="1:17" ht="13.5" x14ac:dyDescent="0.25">
      <c r="A194" s="1" t="str">
        <f t="shared" si="4"/>
        <v>Lexus GX</v>
      </c>
      <c r="B194" s="1" t="s">
        <v>43</v>
      </c>
      <c r="C194" s="6" t="s">
        <v>231</v>
      </c>
      <c r="D194" s="3">
        <v>1804</v>
      </c>
      <c r="E194" s="3">
        <v>1968</v>
      </c>
      <c r="F194" s="3">
        <v>1350</v>
      </c>
      <c r="G194" s="3">
        <v>1115</v>
      </c>
      <c r="H194" s="3">
        <v>2478</v>
      </c>
      <c r="I194" s="3">
        <v>2601</v>
      </c>
      <c r="J194" s="3">
        <v>2167</v>
      </c>
      <c r="K194" s="3">
        <v>2706</v>
      </c>
      <c r="L194" s="3">
        <v>2388</v>
      </c>
      <c r="M194" s="3">
        <v>2828</v>
      </c>
      <c r="N194" s="3">
        <v>2975</v>
      </c>
      <c r="O194" s="3">
        <v>4139</v>
      </c>
      <c r="P194" s="4">
        <f t="shared" si="5"/>
        <v>28519</v>
      </c>
      <c r="Q194" s="1"/>
    </row>
    <row r="195" spans="1:17" ht="13.5" x14ac:dyDescent="0.25">
      <c r="A195" s="1" t="str">
        <f t="shared" si="4"/>
        <v>Lexus IS</v>
      </c>
      <c r="B195" s="1" t="s">
        <v>43</v>
      </c>
      <c r="C195" s="6" t="s">
        <v>232</v>
      </c>
      <c r="D195" s="3">
        <v>741</v>
      </c>
      <c r="E195" s="3">
        <v>1058</v>
      </c>
      <c r="F195" s="3">
        <v>913</v>
      </c>
      <c r="G195" s="3">
        <v>428</v>
      </c>
      <c r="H195" s="3">
        <v>952</v>
      </c>
      <c r="I195" s="3">
        <v>1000</v>
      </c>
      <c r="J195" s="3">
        <v>886</v>
      </c>
      <c r="K195" s="3">
        <v>1212</v>
      </c>
      <c r="L195" s="3">
        <v>1531</v>
      </c>
      <c r="M195" s="3">
        <v>1362</v>
      </c>
      <c r="N195" s="3">
        <v>1228</v>
      </c>
      <c r="O195" s="3">
        <v>2289</v>
      </c>
      <c r="P195" s="4">
        <f t="shared" si="5"/>
        <v>13600</v>
      </c>
      <c r="Q195" s="1"/>
    </row>
    <row r="196" spans="1:17" ht="13.5" x14ac:dyDescent="0.25">
      <c r="A196" s="1" t="str">
        <f t="shared" si="4"/>
        <v>Lexus LC</v>
      </c>
      <c r="B196" s="1" t="s">
        <v>43</v>
      </c>
      <c r="C196" s="6" t="s">
        <v>233</v>
      </c>
      <c r="D196" s="3">
        <v>98</v>
      </c>
      <c r="E196" s="3">
        <v>86</v>
      </c>
      <c r="F196" s="3">
        <v>56</v>
      </c>
      <c r="G196" s="3">
        <v>0</v>
      </c>
      <c r="H196" s="3">
        <v>70</v>
      </c>
      <c r="I196" s="3">
        <v>74</v>
      </c>
      <c r="J196" s="3">
        <v>89</v>
      </c>
      <c r="K196" s="3">
        <v>107</v>
      </c>
      <c r="L196" s="3">
        <v>131</v>
      </c>
      <c r="M196" s="3">
        <v>164</v>
      </c>
      <c r="N196" s="3">
        <v>188</v>
      </c>
      <c r="O196" s="3">
        <v>230</v>
      </c>
      <c r="P196" s="4">
        <f t="shared" si="5"/>
        <v>1293</v>
      </c>
      <c r="Q196" s="1"/>
    </row>
    <row r="197" spans="1:17" ht="13.5" x14ac:dyDescent="0.25">
      <c r="A197" s="1" t="str">
        <f t="shared" si="4"/>
        <v>Lexus LFA</v>
      </c>
      <c r="B197" s="1" t="s">
        <v>43</v>
      </c>
      <c r="C197" s="6" t="s">
        <v>234</v>
      </c>
      <c r="D197" s="3">
        <v>0</v>
      </c>
      <c r="E197" s="3">
        <v>2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>
        <v>0</v>
      </c>
      <c r="L197" s="3">
        <v>1</v>
      </c>
      <c r="M197" s="3">
        <v>0</v>
      </c>
      <c r="N197" s="3">
        <v>0</v>
      </c>
      <c r="O197" s="3">
        <v>0</v>
      </c>
      <c r="P197" s="4">
        <f t="shared" si="5"/>
        <v>3</v>
      </c>
      <c r="Q197" s="1"/>
    </row>
    <row r="198" spans="1:17" ht="13.5" x14ac:dyDescent="0.25">
      <c r="A198" s="1" t="str">
        <f t="shared" si="4"/>
        <v>Lexus LS</v>
      </c>
      <c r="B198" s="1" t="s">
        <v>43</v>
      </c>
      <c r="C198" s="6" t="s">
        <v>235</v>
      </c>
      <c r="D198" s="3">
        <v>378</v>
      </c>
      <c r="E198" s="3">
        <v>261</v>
      </c>
      <c r="F198" s="3">
        <v>162</v>
      </c>
      <c r="G198" s="3">
        <v>145</v>
      </c>
      <c r="H198" s="3">
        <v>250</v>
      </c>
      <c r="I198" s="3">
        <v>263</v>
      </c>
      <c r="J198" s="3">
        <v>255</v>
      </c>
      <c r="K198" s="3">
        <v>299</v>
      </c>
      <c r="L198" s="3">
        <v>303</v>
      </c>
      <c r="M198" s="3">
        <v>471</v>
      </c>
      <c r="N198" s="3">
        <v>339</v>
      </c>
      <c r="O198" s="3">
        <v>524</v>
      </c>
      <c r="P198" s="4">
        <f t="shared" si="5"/>
        <v>3650</v>
      </c>
      <c r="Q198" s="1"/>
    </row>
    <row r="199" spans="1:17" ht="13.5" x14ac:dyDescent="0.25">
      <c r="A199" s="1" t="str">
        <f t="shared" si="4"/>
        <v>Lexus LX</v>
      </c>
      <c r="B199" s="1" t="s">
        <v>43</v>
      </c>
      <c r="C199" s="6" t="s">
        <v>236</v>
      </c>
      <c r="D199" s="3">
        <v>340</v>
      </c>
      <c r="E199" s="3">
        <v>291</v>
      </c>
      <c r="F199" s="3">
        <v>215</v>
      </c>
      <c r="G199" s="3">
        <v>174</v>
      </c>
      <c r="H199" s="3">
        <v>387</v>
      </c>
      <c r="I199" s="3">
        <v>407</v>
      </c>
      <c r="J199" s="3">
        <v>317</v>
      </c>
      <c r="K199" s="3">
        <v>422</v>
      </c>
      <c r="L199" s="3">
        <v>323</v>
      </c>
      <c r="M199" s="3">
        <v>408</v>
      </c>
      <c r="N199" s="3">
        <v>407</v>
      </c>
      <c r="O199" s="3">
        <v>821</v>
      </c>
      <c r="P199" s="4">
        <f t="shared" si="5"/>
        <v>4512</v>
      </c>
      <c r="Q199" s="1"/>
    </row>
    <row r="200" spans="1:17" ht="13.5" x14ac:dyDescent="0.25">
      <c r="A200" s="1" t="str">
        <f t="shared" si="4"/>
        <v>Lexus NX</v>
      </c>
      <c r="B200" s="1" t="s">
        <v>43</v>
      </c>
      <c r="C200" s="6" t="s">
        <v>237</v>
      </c>
      <c r="D200" s="3">
        <v>3826</v>
      </c>
      <c r="E200" s="3">
        <v>4308</v>
      </c>
      <c r="F200" s="3">
        <v>3175</v>
      </c>
      <c r="G200" s="3">
        <v>2055</v>
      </c>
      <c r="H200" s="3">
        <v>4566</v>
      </c>
      <c r="I200" s="3">
        <v>4795</v>
      </c>
      <c r="J200" s="3">
        <v>4726</v>
      </c>
      <c r="K200" s="3">
        <v>4784</v>
      </c>
      <c r="L200" s="3">
        <v>3694</v>
      </c>
      <c r="M200" s="3">
        <v>5470</v>
      </c>
      <c r="N200" s="3">
        <v>6129</v>
      </c>
      <c r="O200" s="3">
        <v>8256</v>
      </c>
      <c r="P200" s="4">
        <f t="shared" si="5"/>
        <v>55784</v>
      </c>
      <c r="Q200" s="1"/>
    </row>
    <row r="201" spans="1:17" ht="13.5" x14ac:dyDescent="0.25">
      <c r="A201" s="1" t="str">
        <f t="shared" si="4"/>
        <v>Lexus RC</v>
      </c>
      <c r="B201" s="1" t="s">
        <v>43</v>
      </c>
      <c r="C201" s="6" t="s">
        <v>238</v>
      </c>
      <c r="D201" s="3">
        <v>289</v>
      </c>
      <c r="E201" s="3">
        <v>299</v>
      </c>
      <c r="F201" s="3">
        <v>169</v>
      </c>
      <c r="G201" s="3">
        <v>140</v>
      </c>
      <c r="H201" s="3">
        <v>312</v>
      </c>
      <c r="I201" s="3">
        <v>328</v>
      </c>
      <c r="J201" s="3">
        <v>341</v>
      </c>
      <c r="K201" s="3">
        <v>372</v>
      </c>
      <c r="L201" s="3">
        <v>389</v>
      </c>
      <c r="M201" s="3">
        <v>406</v>
      </c>
      <c r="N201" s="3">
        <v>347</v>
      </c>
      <c r="O201" s="3">
        <v>416</v>
      </c>
      <c r="P201" s="4">
        <f t="shared" si="5"/>
        <v>3808</v>
      </c>
      <c r="Q201" s="1"/>
    </row>
    <row r="202" spans="1:17" ht="13.5" x14ac:dyDescent="0.25">
      <c r="A202" s="1" t="str">
        <f t="shared" si="4"/>
        <v>Lexus RX</v>
      </c>
      <c r="B202" s="1" t="s">
        <v>43</v>
      </c>
      <c r="C202" s="6" t="s">
        <v>239</v>
      </c>
      <c r="D202" s="3">
        <v>7377</v>
      </c>
      <c r="E202" s="3">
        <v>7936</v>
      </c>
      <c r="F202" s="3">
        <v>5534</v>
      </c>
      <c r="G202" s="3">
        <v>2874</v>
      </c>
      <c r="H202" s="3">
        <v>6386</v>
      </c>
      <c r="I202" s="3">
        <v>6706</v>
      </c>
      <c r="J202" s="3">
        <v>8800</v>
      </c>
      <c r="K202" s="3">
        <v>10972</v>
      </c>
      <c r="L202" s="3">
        <v>9666</v>
      </c>
      <c r="M202" s="3">
        <v>9738</v>
      </c>
      <c r="N202" s="3">
        <v>10556</v>
      </c>
      <c r="O202" s="3">
        <v>14514</v>
      </c>
      <c r="P202" s="4">
        <f t="shared" si="5"/>
        <v>101059</v>
      </c>
      <c r="Q202" s="1"/>
    </row>
    <row r="203" spans="1:17" ht="13.5" x14ac:dyDescent="0.25">
      <c r="A203" s="1" t="str">
        <f t="shared" ref="A203:A266" si="6">CONCATENATE(B203," ",C203)</f>
        <v>Lexus UX</v>
      </c>
      <c r="B203" s="1" t="s">
        <v>43</v>
      </c>
      <c r="C203" s="6" t="s">
        <v>240</v>
      </c>
      <c r="D203" s="3">
        <v>1504</v>
      </c>
      <c r="E203" s="3">
        <v>1350</v>
      </c>
      <c r="F203" s="3">
        <v>984</v>
      </c>
      <c r="G203" s="3">
        <v>632</v>
      </c>
      <c r="H203" s="3">
        <v>1404</v>
      </c>
      <c r="I203" s="3">
        <v>1475</v>
      </c>
      <c r="J203" s="3">
        <v>1722</v>
      </c>
      <c r="K203" s="3">
        <v>1521</v>
      </c>
      <c r="L203" s="3">
        <v>1525</v>
      </c>
      <c r="M203" s="3">
        <v>1527</v>
      </c>
      <c r="N203" s="3">
        <v>1470</v>
      </c>
      <c r="O203" s="3">
        <v>1848</v>
      </c>
      <c r="P203" s="4">
        <f t="shared" ref="P203:P266" si="7">SUM(D203:O203)</f>
        <v>16962</v>
      </c>
      <c r="Q203" s="1"/>
    </row>
    <row r="204" spans="1:17" ht="13.5" x14ac:dyDescent="0.25">
      <c r="A204" s="1" t="str">
        <f t="shared" si="6"/>
        <v>Lincoln Aviator</v>
      </c>
      <c r="B204" s="1" t="s">
        <v>44</v>
      </c>
      <c r="C204" s="6" t="s">
        <v>241</v>
      </c>
      <c r="D204" s="3">
        <v>1840</v>
      </c>
      <c r="E204" s="3">
        <v>2383</v>
      </c>
      <c r="F204" s="3">
        <v>1443</v>
      </c>
      <c r="G204" s="3">
        <v>723</v>
      </c>
      <c r="H204" s="3">
        <v>1606</v>
      </c>
      <c r="I204" s="3">
        <v>1687</v>
      </c>
      <c r="J204" s="3">
        <v>2145</v>
      </c>
      <c r="K204" s="3">
        <v>1907</v>
      </c>
      <c r="L204" s="3">
        <v>2066</v>
      </c>
      <c r="M204" s="3">
        <v>2184</v>
      </c>
      <c r="N204" s="3">
        <v>1942</v>
      </c>
      <c r="O204" s="3">
        <v>3154</v>
      </c>
      <c r="P204" s="4">
        <f t="shared" si="7"/>
        <v>23080</v>
      </c>
      <c r="Q204" s="1"/>
    </row>
    <row r="205" spans="1:17" ht="13.5" x14ac:dyDescent="0.25">
      <c r="A205" s="1" t="str">
        <f t="shared" si="6"/>
        <v>Lincoln Continental</v>
      </c>
      <c r="B205" s="1" t="s">
        <v>44</v>
      </c>
      <c r="C205" s="6" t="s">
        <v>242</v>
      </c>
      <c r="D205" s="3">
        <v>508</v>
      </c>
      <c r="E205" s="3">
        <v>657</v>
      </c>
      <c r="F205" s="3">
        <v>398</v>
      </c>
      <c r="G205" s="3">
        <v>182</v>
      </c>
      <c r="H205" s="3">
        <v>405</v>
      </c>
      <c r="I205" s="3">
        <v>425</v>
      </c>
      <c r="J205" s="3">
        <v>455</v>
      </c>
      <c r="K205" s="3">
        <v>404</v>
      </c>
      <c r="L205" s="3">
        <v>438</v>
      </c>
      <c r="M205" s="3">
        <v>501</v>
      </c>
      <c r="N205" s="3">
        <v>378</v>
      </c>
      <c r="O205" s="3">
        <v>505</v>
      </c>
      <c r="P205" s="4">
        <f t="shared" si="7"/>
        <v>5256</v>
      </c>
      <c r="Q205" s="1"/>
    </row>
    <row r="206" spans="1:17" ht="13.5" x14ac:dyDescent="0.25">
      <c r="A206" s="1" t="str">
        <f t="shared" si="6"/>
        <v>Lincoln MKC</v>
      </c>
      <c r="B206" s="1" t="s">
        <v>44</v>
      </c>
      <c r="C206" s="6" t="s">
        <v>243</v>
      </c>
      <c r="D206" s="3">
        <v>1842</v>
      </c>
      <c r="E206" s="3">
        <v>2384</v>
      </c>
      <c r="F206" s="3">
        <v>1444</v>
      </c>
      <c r="G206" s="3">
        <v>983</v>
      </c>
      <c r="H206" s="3">
        <v>2185</v>
      </c>
      <c r="I206" s="3">
        <v>2294</v>
      </c>
      <c r="J206" s="3">
        <v>2470</v>
      </c>
      <c r="K206" s="3">
        <v>2196</v>
      </c>
      <c r="L206" s="3">
        <v>2378</v>
      </c>
      <c r="M206" s="3">
        <v>3053</v>
      </c>
      <c r="N206" s="3">
        <v>2242</v>
      </c>
      <c r="O206" s="3">
        <v>2755</v>
      </c>
      <c r="P206" s="4">
        <f t="shared" si="7"/>
        <v>26226</v>
      </c>
      <c r="Q206" s="1"/>
    </row>
    <row r="207" spans="1:17" ht="13.5" x14ac:dyDescent="0.25">
      <c r="A207" s="1" t="str">
        <f t="shared" si="6"/>
        <v>Lincoln MKT</v>
      </c>
      <c r="B207" s="1" t="s">
        <v>44</v>
      </c>
      <c r="C207" s="6" t="s">
        <v>244</v>
      </c>
      <c r="D207" s="3">
        <v>35</v>
      </c>
      <c r="E207" s="3">
        <v>46</v>
      </c>
      <c r="F207" s="3">
        <v>28</v>
      </c>
      <c r="G207" s="3">
        <v>4</v>
      </c>
      <c r="H207" s="3">
        <v>8</v>
      </c>
      <c r="I207" s="3">
        <v>8</v>
      </c>
      <c r="J207" s="3">
        <v>8</v>
      </c>
      <c r="K207" s="3">
        <v>7</v>
      </c>
      <c r="L207" s="3">
        <v>8</v>
      </c>
      <c r="M207" s="3">
        <v>12</v>
      </c>
      <c r="N207" s="3">
        <v>6</v>
      </c>
      <c r="O207" s="3">
        <v>159</v>
      </c>
      <c r="P207" s="4">
        <f t="shared" si="7"/>
        <v>329</v>
      </c>
      <c r="Q207" s="1"/>
    </row>
    <row r="208" spans="1:17" ht="13.5" x14ac:dyDescent="0.25">
      <c r="A208" s="1" t="str">
        <f t="shared" si="6"/>
        <v>Lincoln MKX/Nautilus</v>
      </c>
      <c r="B208" s="1" t="s">
        <v>44</v>
      </c>
      <c r="C208" s="6" t="s">
        <v>245</v>
      </c>
      <c r="D208" s="3">
        <v>1704</v>
      </c>
      <c r="E208" s="3">
        <v>2206</v>
      </c>
      <c r="F208" s="3">
        <v>1336</v>
      </c>
      <c r="G208" s="3">
        <v>906</v>
      </c>
      <c r="H208" s="3">
        <v>2014</v>
      </c>
      <c r="I208" s="3">
        <v>2115</v>
      </c>
      <c r="J208" s="3">
        <v>2024</v>
      </c>
      <c r="K208" s="3">
        <v>1799</v>
      </c>
      <c r="L208" s="3">
        <v>1949</v>
      </c>
      <c r="M208" s="3">
        <v>2123</v>
      </c>
      <c r="N208" s="3">
        <v>1874</v>
      </c>
      <c r="O208" s="3">
        <v>2693</v>
      </c>
      <c r="P208" s="4">
        <f t="shared" si="7"/>
        <v>22743</v>
      </c>
      <c r="Q208" s="1"/>
    </row>
    <row r="209" spans="1:17" ht="13.5" x14ac:dyDescent="0.25">
      <c r="A209" s="1" t="str">
        <f t="shared" si="6"/>
        <v>Lincoln MKZ</v>
      </c>
      <c r="B209" s="1" t="s">
        <v>44</v>
      </c>
      <c r="C209" s="6" t="s">
        <v>246</v>
      </c>
      <c r="D209" s="3">
        <v>1131</v>
      </c>
      <c r="E209" s="3">
        <v>1464</v>
      </c>
      <c r="F209" s="3">
        <v>887</v>
      </c>
      <c r="G209" s="3">
        <v>537</v>
      </c>
      <c r="H209" s="3">
        <v>1194</v>
      </c>
      <c r="I209" s="3">
        <v>1254</v>
      </c>
      <c r="J209" s="3">
        <v>1285</v>
      </c>
      <c r="K209" s="3">
        <v>1143</v>
      </c>
      <c r="L209" s="3">
        <v>1238</v>
      </c>
      <c r="M209" s="3">
        <v>791</v>
      </c>
      <c r="N209" s="3">
        <v>583</v>
      </c>
      <c r="O209" s="3">
        <v>1011</v>
      </c>
      <c r="P209" s="4">
        <f t="shared" si="7"/>
        <v>12518</v>
      </c>
      <c r="Q209" s="1"/>
    </row>
    <row r="210" spans="1:17" ht="13.5" x14ac:dyDescent="0.25">
      <c r="A210" s="1" t="str">
        <f t="shared" si="6"/>
        <v>Lincoln Navigator</v>
      </c>
      <c r="B210" s="1" t="s">
        <v>44</v>
      </c>
      <c r="C210" s="6" t="s">
        <v>247</v>
      </c>
      <c r="D210" s="3">
        <v>1243</v>
      </c>
      <c r="E210" s="3">
        <v>1609</v>
      </c>
      <c r="F210" s="3">
        <v>974</v>
      </c>
      <c r="G210" s="3">
        <v>495</v>
      </c>
      <c r="H210" s="3">
        <v>1100</v>
      </c>
      <c r="I210" s="3">
        <v>1155</v>
      </c>
      <c r="J210" s="3">
        <v>1275</v>
      </c>
      <c r="K210" s="3">
        <v>1133</v>
      </c>
      <c r="L210" s="3">
        <v>1227</v>
      </c>
      <c r="M210" s="3">
        <v>1386</v>
      </c>
      <c r="N210" s="3">
        <v>1362</v>
      </c>
      <c r="O210" s="3">
        <v>2294</v>
      </c>
      <c r="P210" s="4">
        <f t="shared" si="7"/>
        <v>15253</v>
      </c>
      <c r="Q210" s="1"/>
    </row>
    <row r="211" spans="1:17" ht="13.5" x14ac:dyDescent="0.25">
      <c r="A211" s="1" t="str">
        <f t="shared" si="6"/>
        <v>Mazda 3</v>
      </c>
      <c r="B211" s="1" t="s">
        <v>45</v>
      </c>
      <c r="C211" s="6">
        <v>3</v>
      </c>
      <c r="D211" s="3">
        <v>2496</v>
      </c>
      <c r="E211" s="3">
        <v>3759</v>
      </c>
      <c r="F211" s="3">
        <v>1863</v>
      </c>
      <c r="G211" s="3">
        <v>1492</v>
      </c>
      <c r="H211" s="3">
        <v>3368</v>
      </c>
      <c r="I211" s="3">
        <v>3250</v>
      </c>
      <c r="J211" s="3">
        <v>3231</v>
      </c>
      <c r="K211" s="3">
        <v>3175</v>
      </c>
      <c r="L211" s="3">
        <v>2535</v>
      </c>
      <c r="M211" s="3">
        <v>2570</v>
      </c>
      <c r="N211" s="3">
        <v>2613</v>
      </c>
      <c r="O211" s="3">
        <v>3256</v>
      </c>
      <c r="P211" s="4">
        <f t="shared" si="7"/>
        <v>33608</v>
      </c>
      <c r="Q211" s="1"/>
    </row>
    <row r="212" spans="1:17" ht="13.5" x14ac:dyDescent="0.25">
      <c r="A212" s="1" t="str">
        <f t="shared" si="6"/>
        <v>Mazda 6</v>
      </c>
      <c r="B212" s="1" t="s">
        <v>45</v>
      </c>
      <c r="C212" s="6">
        <v>6</v>
      </c>
      <c r="D212" s="3">
        <v>1755</v>
      </c>
      <c r="E212" s="3">
        <v>1730</v>
      </c>
      <c r="F212" s="3">
        <v>1021</v>
      </c>
      <c r="G212" s="3">
        <v>746</v>
      </c>
      <c r="H212" s="3">
        <v>1477</v>
      </c>
      <c r="I212" s="3">
        <v>1356</v>
      </c>
      <c r="J212" s="3">
        <v>1199</v>
      </c>
      <c r="K212" s="3">
        <v>1230</v>
      </c>
      <c r="L212" s="3">
        <v>1451</v>
      </c>
      <c r="M212" s="3">
        <v>1356</v>
      </c>
      <c r="N212" s="3">
        <v>1196</v>
      </c>
      <c r="O212" s="3">
        <v>1687</v>
      </c>
      <c r="P212" s="4">
        <f t="shared" si="7"/>
        <v>16204</v>
      </c>
      <c r="Q212" s="1"/>
    </row>
    <row r="213" spans="1:17" ht="13.5" x14ac:dyDescent="0.25">
      <c r="A213" s="1" t="str">
        <f t="shared" si="6"/>
        <v>Mazda CX-3</v>
      </c>
      <c r="B213" s="1" t="s">
        <v>45</v>
      </c>
      <c r="C213" s="6" t="s">
        <v>248</v>
      </c>
      <c r="D213" s="3">
        <v>1146</v>
      </c>
      <c r="E213" s="3">
        <v>947</v>
      </c>
      <c r="F213" s="3">
        <v>459</v>
      </c>
      <c r="G213" s="3">
        <v>363</v>
      </c>
      <c r="H213" s="3">
        <v>842</v>
      </c>
      <c r="I213" s="3">
        <v>1000</v>
      </c>
      <c r="J213" s="3">
        <v>959</v>
      </c>
      <c r="K213" s="3">
        <v>860</v>
      </c>
      <c r="L213" s="3">
        <v>436</v>
      </c>
      <c r="M213" s="3">
        <v>473</v>
      </c>
      <c r="N213" s="3">
        <v>413</v>
      </c>
      <c r="O213" s="3">
        <v>437</v>
      </c>
      <c r="P213" s="4">
        <f t="shared" si="7"/>
        <v>8335</v>
      </c>
      <c r="Q213" s="1"/>
    </row>
    <row r="214" spans="1:17" ht="13.5" x14ac:dyDescent="0.25">
      <c r="A214" s="1" t="str">
        <f t="shared" si="6"/>
        <v>Mazda CX-30</v>
      </c>
      <c r="B214" s="1" t="s">
        <v>45</v>
      </c>
      <c r="C214" s="6" t="s">
        <v>249</v>
      </c>
      <c r="D214" s="3">
        <v>2368</v>
      </c>
      <c r="E214" s="3">
        <v>3754</v>
      </c>
      <c r="F214" s="3">
        <v>2242</v>
      </c>
      <c r="G214" s="3">
        <v>1483</v>
      </c>
      <c r="H214" s="3">
        <v>3583</v>
      </c>
      <c r="I214" s="3">
        <v>3526</v>
      </c>
      <c r="J214" s="3">
        <v>3787</v>
      </c>
      <c r="K214" s="3">
        <v>3862</v>
      </c>
      <c r="L214" s="3">
        <v>3188</v>
      </c>
      <c r="M214" s="3">
        <v>3214</v>
      </c>
      <c r="N214" s="3">
        <v>2649</v>
      </c>
      <c r="O214" s="3">
        <v>4408</v>
      </c>
      <c r="P214" s="4">
        <f t="shared" si="7"/>
        <v>38064</v>
      </c>
      <c r="Q214" s="1"/>
    </row>
    <row r="215" spans="1:17" ht="13.5" x14ac:dyDescent="0.25">
      <c r="A215" s="1" t="str">
        <f t="shared" si="6"/>
        <v>Mazda CX-5</v>
      </c>
      <c r="B215" s="1" t="s">
        <v>45</v>
      </c>
      <c r="C215" s="6" t="s">
        <v>250</v>
      </c>
      <c r="D215" s="3">
        <v>12908</v>
      </c>
      <c r="E215" s="3">
        <v>14462</v>
      </c>
      <c r="F215" s="3">
        <v>7841</v>
      </c>
      <c r="G215" s="3">
        <v>5220</v>
      </c>
      <c r="H215" s="3">
        <v>12140</v>
      </c>
      <c r="I215" s="3">
        <v>12501</v>
      </c>
      <c r="J215" s="3">
        <v>11878</v>
      </c>
      <c r="K215" s="3">
        <v>13745</v>
      </c>
      <c r="L215" s="3">
        <v>13582</v>
      </c>
      <c r="M215" s="3">
        <v>11890</v>
      </c>
      <c r="N215" s="3">
        <v>12299</v>
      </c>
      <c r="O215" s="3">
        <v>17954</v>
      </c>
      <c r="P215" s="4">
        <f t="shared" si="7"/>
        <v>146420</v>
      </c>
      <c r="Q215" s="1"/>
    </row>
    <row r="216" spans="1:17" ht="13.5" x14ac:dyDescent="0.25">
      <c r="A216" s="1" t="str">
        <f t="shared" si="6"/>
        <v>Mazda CX-9</v>
      </c>
      <c r="B216" s="1" t="s">
        <v>45</v>
      </c>
      <c r="C216" s="6" t="s">
        <v>251</v>
      </c>
      <c r="D216" s="3">
        <v>2552</v>
      </c>
      <c r="E216" s="3">
        <v>2926</v>
      </c>
      <c r="F216" s="3">
        <v>1741</v>
      </c>
      <c r="G216" s="3">
        <v>1084</v>
      </c>
      <c r="H216" s="3">
        <v>2421</v>
      </c>
      <c r="I216" s="3">
        <v>2727</v>
      </c>
      <c r="J216" s="3">
        <v>2335</v>
      </c>
      <c r="K216" s="3">
        <v>2443</v>
      </c>
      <c r="L216" s="3">
        <v>2183</v>
      </c>
      <c r="M216" s="3">
        <v>2382</v>
      </c>
      <c r="N216" s="3">
        <v>1972</v>
      </c>
      <c r="O216" s="3">
        <v>2872</v>
      </c>
      <c r="P216" s="4">
        <f t="shared" si="7"/>
        <v>27638</v>
      </c>
      <c r="Q216" s="1"/>
    </row>
    <row r="217" spans="1:17" ht="13.5" x14ac:dyDescent="0.25">
      <c r="A217" s="1" t="str">
        <f t="shared" si="6"/>
        <v>Mazda MX-5 Miata</v>
      </c>
      <c r="B217" s="1" t="s">
        <v>45</v>
      </c>
      <c r="C217" s="6" t="s">
        <v>252</v>
      </c>
      <c r="D217" s="3">
        <v>396</v>
      </c>
      <c r="E217" s="3">
        <v>807</v>
      </c>
      <c r="F217" s="3">
        <v>497</v>
      </c>
      <c r="G217" s="3">
        <v>552</v>
      </c>
      <c r="H217" s="3">
        <v>1102</v>
      </c>
      <c r="I217" s="3">
        <v>966</v>
      </c>
      <c r="J217" s="3">
        <v>696</v>
      </c>
      <c r="K217" s="3">
        <v>774</v>
      </c>
      <c r="L217" s="3">
        <v>862</v>
      </c>
      <c r="M217" s="3">
        <v>851</v>
      </c>
      <c r="N217" s="3">
        <v>610</v>
      </c>
      <c r="O217" s="3">
        <v>694</v>
      </c>
      <c r="P217" s="4">
        <f t="shared" si="7"/>
        <v>8807</v>
      </c>
      <c r="Q217" s="1"/>
    </row>
    <row r="218" spans="1:17" ht="13.5" x14ac:dyDescent="0.25">
      <c r="A218" s="1" t="str">
        <f t="shared" si="6"/>
        <v>Mercedes-Benz A-Class</v>
      </c>
      <c r="B218" s="1" t="s">
        <v>57</v>
      </c>
      <c r="C218" s="6" t="s">
        <v>253</v>
      </c>
      <c r="D218" s="3">
        <v>1201</v>
      </c>
      <c r="E218" s="3">
        <v>1555</v>
      </c>
      <c r="F218" s="3">
        <v>942</v>
      </c>
      <c r="G218" s="3">
        <v>739</v>
      </c>
      <c r="H218" s="3">
        <v>1642</v>
      </c>
      <c r="I218" s="3">
        <v>1724</v>
      </c>
      <c r="J218" s="3">
        <v>1378</v>
      </c>
      <c r="K218" s="3">
        <v>1225</v>
      </c>
      <c r="L218" s="3">
        <v>1327</v>
      </c>
      <c r="M218" s="3">
        <v>1214</v>
      </c>
      <c r="N218" s="3">
        <v>998</v>
      </c>
      <c r="O218" s="3">
        <v>1388</v>
      </c>
      <c r="P218" s="4">
        <f t="shared" si="7"/>
        <v>15333</v>
      </c>
      <c r="Q218" s="1"/>
    </row>
    <row r="219" spans="1:17" ht="13.5" x14ac:dyDescent="0.25">
      <c r="A219" s="1" t="str">
        <f t="shared" si="6"/>
        <v>Mercedes-Benz AMG GT</v>
      </c>
      <c r="B219" s="1" t="s">
        <v>57</v>
      </c>
      <c r="C219" s="6" t="s">
        <v>254</v>
      </c>
      <c r="D219" s="3">
        <v>314</v>
      </c>
      <c r="E219" s="3">
        <v>407</v>
      </c>
      <c r="F219" s="3">
        <v>246</v>
      </c>
      <c r="G219" s="3">
        <v>153</v>
      </c>
      <c r="H219" s="3">
        <v>153</v>
      </c>
      <c r="I219" s="3">
        <v>356</v>
      </c>
      <c r="J219" s="3">
        <v>263</v>
      </c>
      <c r="K219" s="3">
        <v>234</v>
      </c>
      <c r="L219" s="3">
        <v>253</v>
      </c>
      <c r="M219" s="3">
        <v>312</v>
      </c>
      <c r="N219" s="3">
        <v>256</v>
      </c>
      <c r="O219" s="3">
        <v>356</v>
      </c>
      <c r="P219" s="4">
        <f t="shared" si="7"/>
        <v>3303</v>
      </c>
      <c r="Q219" s="1"/>
    </row>
    <row r="220" spans="1:17" ht="13.5" x14ac:dyDescent="0.25">
      <c r="A220" s="1" t="str">
        <f t="shared" si="6"/>
        <v>Mercedes-Benz C-Class</v>
      </c>
      <c r="B220" s="1" t="s">
        <v>57</v>
      </c>
      <c r="C220" s="6" t="s">
        <v>255</v>
      </c>
      <c r="D220" s="3">
        <v>2227</v>
      </c>
      <c r="E220" s="3">
        <v>2883</v>
      </c>
      <c r="F220" s="3">
        <v>1746</v>
      </c>
      <c r="G220" s="3">
        <v>0</v>
      </c>
      <c r="H220" s="3">
        <v>2610</v>
      </c>
      <c r="I220" s="3">
        <v>2741</v>
      </c>
      <c r="J220" s="3">
        <v>2530</v>
      </c>
      <c r="K220" s="3">
        <v>2249</v>
      </c>
      <c r="L220" s="3">
        <v>2436</v>
      </c>
      <c r="M220" s="3">
        <v>1922</v>
      </c>
      <c r="N220" s="3">
        <v>1579</v>
      </c>
      <c r="O220" s="3">
        <v>2196</v>
      </c>
      <c r="P220" s="4">
        <f t="shared" si="7"/>
        <v>25119</v>
      </c>
      <c r="Q220" s="1"/>
    </row>
    <row r="221" spans="1:17" ht="13.5" x14ac:dyDescent="0.25">
      <c r="A221" s="1" t="str">
        <f t="shared" si="6"/>
        <v>Mercedes-Benz CLA-Class</v>
      </c>
      <c r="B221" s="1" t="s">
        <v>57</v>
      </c>
      <c r="C221" s="6" t="s">
        <v>256</v>
      </c>
      <c r="D221" s="3">
        <v>1065</v>
      </c>
      <c r="E221" s="3">
        <v>1379</v>
      </c>
      <c r="F221" s="3">
        <v>835</v>
      </c>
      <c r="G221" s="3">
        <v>1175</v>
      </c>
      <c r="H221" s="3">
        <v>1172</v>
      </c>
      <c r="I221" s="3">
        <v>1231</v>
      </c>
      <c r="J221" s="3">
        <v>789</v>
      </c>
      <c r="K221" s="3">
        <v>701</v>
      </c>
      <c r="L221" s="3">
        <v>760</v>
      </c>
      <c r="M221" s="3">
        <v>856</v>
      </c>
      <c r="N221" s="3">
        <v>703</v>
      </c>
      <c r="O221" s="3">
        <v>978</v>
      </c>
      <c r="P221" s="4">
        <f t="shared" si="7"/>
        <v>11644</v>
      </c>
      <c r="Q221" s="1"/>
    </row>
    <row r="222" spans="1:17" ht="13.5" x14ac:dyDescent="0.25">
      <c r="A222" s="1" t="str">
        <f t="shared" si="6"/>
        <v>Mercedes-Benz E-Class/CLS-Class</v>
      </c>
      <c r="B222" s="1" t="s">
        <v>57</v>
      </c>
      <c r="C222" s="6" t="s">
        <v>264</v>
      </c>
      <c r="D222" s="3">
        <v>2293</v>
      </c>
      <c r="E222" s="3">
        <v>2969</v>
      </c>
      <c r="F222" s="3">
        <v>1798</v>
      </c>
      <c r="G222" s="3">
        <v>1234</v>
      </c>
      <c r="H222" s="3">
        <v>2743</v>
      </c>
      <c r="I222" s="3">
        <v>2880</v>
      </c>
      <c r="J222" s="3">
        <v>2271</v>
      </c>
      <c r="K222" s="3">
        <v>2018</v>
      </c>
      <c r="L222" s="3">
        <v>2187</v>
      </c>
      <c r="M222" s="3">
        <v>2263</v>
      </c>
      <c r="N222" s="3">
        <v>1859</v>
      </c>
      <c r="O222" s="3">
        <v>2587</v>
      </c>
      <c r="P222" s="4">
        <f t="shared" si="7"/>
        <v>27102</v>
      </c>
      <c r="Q222" s="1"/>
    </row>
    <row r="223" spans="1:17" ht="13.5" x14ac:dyDescent="0.25">
      <c r="A223" s="1" t="str">
        <f t="shared" si="6"/>
        <v>Mercedes-Benz G-Class</v>
      </c>
      <c r="B223" s="1" t="s">
        <v>57</v>
      </c>
      <c r="C223" s="6" t="s">
        <v>257</v>
      </c>
      <c r="D223" s="3">
        <v>529</v>
      </c>
      <c r="E223" s="3">
        <v>685</v>
      </c>
      <c r="F223" s="3">
        <v>415</v>
      </c>
      <c r="G223" s="3">
        <v>313</v>
      </c>
      <c r="H223" s="3">
        <v>696</v>
      </c>
      <c r="I223" s="3">
        <v>731</v>
      </c>
      <c r="J223" s="3">
        <v>630</v>
      </c>
      <c r="K223" s="3">
        <v>560</v>
      </c>
      <c r="L223" s="3">
        <v>606</v>
      </c>
      <c r="M223" s="3">
        <v>863</v>
      </c>
      <c r="N223" s="3">
        <v>709</v>
      </c>
      <c r="O223" s="3">
        <v>986</v>
      </c>
      <c r="P223" s="4">
        <f t="shared" si="7"/>
        <v>7723</v>
      </c>
      <c r="Q223" s="1"/>
    </row>
    <row r="224" spans="1:17" ht="13.5" x14ac:dyDescent="0.25">
      <c r="A224" s="1" t="str">
        <f t="shared" si="6"/>
        <v>Mercedes-Benz GLA</v>
      </c>
      <c r="B224" s="1" t="s">
        <v>57</v>
      </c>
      <c r="C224" s="6" t="s">
        <v>266</v>
      </c>
      <c r="D224" s="3">
        <v>1614</v>
      </c>
      <c r="E224" s="3">
        <v>2089</v>
      </c>
      <c r="F224" s="3">
        <v>1266</v>
      </c>
      <c r="G224" s="3">
        <v>509</v>
      </c>
      <c r="H224" s="3">
        <v>1131</v>
      </c>
      <c r="I224" s="3">
        <v>1188</v>
      </c>
      <c r="J224" s="3">
        <v>3055</v>
      </c>
      <c r="K224" s="3">
        <v>2715</v>
      </c>
      <c r="L224" s="3">
        <v>2942</v>
      </c>
      <c r="M224" s="3">
        <v>2982</v>
      </c>
      <c r="N224" s="3">
        <v>2449</v>
      </c>
      <c r="O224" s="3">
        <v>3408</v>
      </c>
      <c r="P224" s="4">
        <f t="shared" si="7"/>
        <v>25348</v>
      </c>
      <c r="Q224" s="1"/>
    </row>
    <row r="225" spans="1:17" ht="13.5" x14ac:dyDescent="0.25">
      <c r="A225" s="1" t="str">
        <f t="shared" si="6"/>
        <v>Mercedes-Benz GLB</v>
      </c>
      <c r="B225" s="1" t="s">
        <v>57</v>
      </c>
      <c r="C225" s="6" t="s">
        <v>258</v>
      </c>
      <c r="D225" s="3">
        <v>1566</v>
      </c>
      <c r="E225" s="3">
        <v>2027</v>
      </c>
      <c r="F225" s="3">
        <v>1228</v>
      </c>
      <c r="G225" s="3">
        <v>1206</v>
      </c>
      <c r="H225" s="3">
        <v>2680</v>
      </c>
      <c r="I225" s="3">
        <v>2814</v>
      </c>
      <c r="J225" s="3">
        <v>2521</v>
      </c>
      <c r="K225" s="3">
        <v>2241</v>
      </c>
      <c r="L225" s="3">
        <v>2428</v>
      </c>
      <c r="M225" s="3">
        <v>1509</v>
      </c>
      <c r="N225" s="3">
        <v>1240</v>
      </c>
      <c r="O225" s="3">
        <v>1725</v>
      </c>
      <c r="P225" s="4">
        <f t="shared" si="7"/>
        <v>23185</v>
      </c>
      <c r="Q225" s="1"/>
    </row>
    <row r="226" spans="1:17" ht="13.5" x14ac:dyDescent="0.25">
      <c r="A226" s="1" t="str">
        <f t="shared" si="6"/>
        <v>Mercedes-Benz GLC</v>
      </c>
      <c r="B226" s="1" t="s">
        <v>57</v>
      </c>
      <c r="C226" s="6" t="s">
        <v>267</v>
      </c>
      <c r="D226" s="3">
        <v>4254</v>
      </c>
      <c r="E226" s="3">
        <v>5508</v>
      </c>
      <c r="F226" s="3">
        <v>3336</v>
      </c>
      <c r="G226" s="3">
        <v>1703</v>
      </c>
      <c r="H226" s="3">
        <v>3784</v>
      </c>
      <c r="I226" s="3">
        <v>3974</v>
      </c>
      <c r="J226" s="3">
        <v>4007</v>
      </c>
      <c r="K226" s="3">
        <v>3562</v>
      </c>
      <c r="L226" s="3">
        <v>3859</v>
      </c>
      <c r="M226" s="3">
        <v>6288</v>
      </c>
      <c r="N226" s="3">
        <v>5165</v>
      </c>
      <c r="O226" s="3">
        <v>7186</v>
      </c>
      <c r="P226" s="4">
        <f t="shared" si="7"/>
        <v>52626</v>
      </c>
      <c r="Q226" s="1"/>
    </row>
    <row r="227" spans="1:17" ht="13.5" x14ac:dyDescent="0.25">
      <c r="A227" s="1" t="str">
        <f t="shared" si="6"/>
        <v>Mercedes-Benz GLE</v>
      </c>
      <c r="B227" s="1" t="s">
        <v>57</v>
      </c>
      <c r="C227" s="6" t="s">
        <v>268</v>
      </c>
      <c r="D227" s="3">
        <v>3833</v>
      </c>
      <c r="E227" s="3">
        <v>4963</v>
      </c>
      <c r="F227" s="3">
        <v>3006</v>
      </c>
      <c r="G227" s="3">
        <v>1710</v>
      </c>
      <c r="H227" s="3">
        <v>3800</v>
      </c>
      <c r="I227" s="3">
        <v>3990</v>
      </c>
      <c r="J227" s="3">
        <v>3807</v>
      </c>
      <c r="K227" s="3">
        <v>3384</v>
      </c>
      <c r="L227" s="3">
        <v>3666</v>
      </c>
      <c r="M227" s="3">
        <v>5396</v>
      </c>
      <c r="N227" s="3">
        <v>4432</v>
      </c>
      <c r="O227" s="3">
        <v>6166</v>
      </c>
      <c r="P227" s="4">
        <f t="shared" si="7"/>
        <v>48153</v>
      </c>
      <c r="Q227" s="1"/>
    </row>
    <row r="228" spans="1:17" ht="13.5" x14ac:dyDescent="0.25">
      <c r="A228" s="1" t="str">
        <f t="shared" si="6"/>
        <v>Mercedes-Benz GLS</v>
      </c>
      <c r="B228" s="1" t="s">
        <v>57</v>
      </c>
      <c r="C228" s="6" t="s">
        <v>265</v>
      </c>
      <c r="D228" s="3">
        <v>2073</v>
      </c>
      <c r="E228" s="3">
        <v>2683</v>
      </c>
      <c r="F228" s="3">
        <v>1625</v>
      </c>
      <c r="G228" s="3">
        <v>945</v>
      </c>
      <c r="H228" s="3">
        <v>2101</v>
      </c>
      <c r="I228" s="3">
        <v>2206</v>
      </c>
      <c r="J228" s="3">
        <v>1857</v>
      </c>
      <c r="K228" s="3">
        <v>1650</v>
      </c>
      <c r="L228" s="3">
        <v>1788</v>
      </c>
      <c r="M228" s="3">
        <v>1769</v>
      </c>
      <c r="N228" s="3">
        <v>1453</v>
      </c>
      <c r="O228" s="3">
        <v>2022</v>
      </c>
      <c r="P228" s="4">
        <f t="shared" si="7"/>
        <v>22172</v>
      </c>
      <c r="Q228" s="1"/>
    </row>
    <row r="229" spans="1:17" ht="13.5" x14ac:dyDescent="0.25">
      <c r="A229" s="1" t="str">
        <f t="shared" si="6"/>
        <v>Mercedes-Benz Metris</v>
      </c>
      <c r="B229" s="1" t="s">
        <v>57</v>
      </c>
      <c r="C229" s="6" t="s">
        <v>259</v>
      </c>
      <c r="D229" s="3">
        <v>732</v>
      </c>
      <c r="E229" s="3">
        <v>948</v>
      </c>
      <c r="F229" s="3">
        <v>574</v>
      </c>
      <c r="G229" s="3">
        <v>630</v>
      </c>
      <c r="H229" s="3">
        <v>1400</v>
      </c>
      <c r="I229" s="3">
        <v>1470</v>
      </c>
      <c r="J229" s="3">
        <v>1753</v>
      </c>
      <c r="K229" s="3">
        <v>1558</v>
      </c>
      <c r="L229" s="3">
        <v>1688</v>
      </c>
      <c r="M229" s="3">
        <v>756</v>
      </c>
      <c r="N229" s="3">
        <v>621</v>
      </c>
      <c r="O229" s="3">
        <v>864</v>
      </c>
      <c r="P229" s="4">
        <f t="shared" si="7"/>
        <v>12994</v>
      </c>
      <c r="Q229" s="1"/>
    </row>
    <row r="230" spans="1:17" ht="13.5" x14ac:dyDescent="0.25">
      <c r="A230" s="1" t="str">
        <f t="shared" si="6"/>
        <v>Mercedes-Benz S-Class</v>
      </c>
      <c r="B230" s="1" t="s">
        <v>57</v>
      </c>
      <c r="C230" s="6" t="s">
        <v>260</v>
      </c>
      <c r="D230" s="3">
        <v>768</v>
      </c>
      <c r="E230" s="3">
        <v>995</v>
      </c>
      <c r="F230" s="3">
        <v>603</v>
      </c>
      <c r="G230" s="3">
        <v>327</v>
      </c>
      <c r="H230" s="3">
        <v>727</v>
      </c>
      <c r="I230" s="3">
        <v>763</v>
      </c>
      <c r="J230" s="3">
        <v>858</v>
      </c>
      <c r="K230" s="3">
        <v>763</v>
      </c>
      <c r="L230" s="3">
        <v>826</v>
      </c>
      <c r="M230" s="3">
        <v>661</v>
      </c>
      <c r="N230" s="3">
        <v>543</v>
      </c>
      <c r="O230" s="3">
        <v>755</v>
      </c>
      <c r="P230" s="4">
        <f t="shared" si="7"/>
        <v>8589</v>
      </c>
      <c r="Q230" s="1"/>
    </row>
    <row r="231" spans="1:17" ht="13.5" x14ac:dyDescent="0.25">
      <c r="A231" s="1" t="str">
        <f t="shared" si="6"/>
        <v>Mercedes-Benz SLC-Class</v>
      </c>
      <c r="B231" s="1" t="s">
        <v>57</v>
      </c>
      <c r="C231" s="6" t="s">
        <v>262</v>
      </c>
      <c r="D231" s="3">
        <v>136</v>
      </c>
      <c r="E231" s="3">
        <v>176</v>
      </c>
      <c r="F231" s="3">
        <v>107</v>
      </c>
      <c r="G231" s="3">
        <v>90</v>
      </c>
      <c r="H231" s="3">
        <v>200</v>
      </c>
      <c r="I231" s="3">
        <v>210</v>
      </c>
      <c r="J231" s="3">
        <v>255</v>
      </c>
      <c r="K231" s="3">
        <v>227</v>
      </c>
      <c r="L231" s="3">
        <v>246</v>
      </c>
      <c r="M231" s="3">
        <v>160</v>
      </c>
      <c r="N231" s="3">
        <v>131</v>
      </c>
      <c r="O231" s="3">
        <v>183</v>
      </c>
      <c r="P231" s="4">
        <f t="shared" si="7"/>
        <v>2121</v>
      </c>
      <c r="Q231" s="1"/>
    </row>
    <row r="232" spans="1:17" ht="13.5" x14ac:dyDescent="0.25">
      <c r="A232" s="1" t="str">
        <f t="shared" si="6"/>
        <v>Mercedes-Benz SL-Class</v>
      </c>
      <c r="B232" s="1" t="s">
        <v>57</v>
      </c>
      <c r="C232" s="6" t="s">
        <v>261</v>
      </c>
      <c r="D232" s="3">
        <v>130</v>
      </c>
      <c r="E232" s="3">
        <v>169</v>
      </c>
      <c r="F232" s="3">
        <v>102</v>
      </c>
      <c r="G232" s="3">
        <v>71</v>
      </c>
      <c r="H232" s="3">
        <v>158</v>
      </c>
      <c r="I232" s="3">
        <v>165</v>
      </c>
      <c r="J232" s="3">
        <v>195</v>
      </c>
      <c r="K232" s="3">
        <v>173</v>
      </c>
      <c r="L232" s="3">
        <v>187</v>
      </c>
      <c r="M232" s="3">
        <v>146</v>
      </c>
      <c r="N232" s="3">
        <v>120</v>
      </c>
      <c r="O232" s="3">
        <v>167</v>
      </c>
      <c r="P232" s="4">
        <f t="shared" si="7"/>
        <v>1783</v>
      </c>
      <c r="Q232" s="1"/>
    </row>
    <row r="233" spans="1:17" ht="13.5" x14ac:dyDescent="0.25">
      <c r="A233" s="1" t="str">
        <f t="shared" si="6"/>
        <v>Mercedes-Benz Sprinter</v>
      </c>
      <c r="B233" s="1" t="s">
        <v>57</v>
      </c>
      <c r="C233" s="6" t="s">
        <v>263</v>
      </c>
      <c r="D233" s="3">
        <v>1710</v>
      </c>
      <c r="E233" s="3">
        <v>2214</v>
      </c>
      <c r="F233" s="3">
        <v>1341</v>
      </c>
      <c r="G233" s="3">
        <v>1307</v>
      </c>
      <c r="H233" s="3">
        <v>2904</v>
      </c>
      <c r="I233" s="3">
        <v>3049</v>
      </c>
      <c r="J233" s="3">
        <v>3506</v>
      </c>
      <c r="K233" s="3">
        <v>3117</v>
      </c>
      <c r="L233" s="3">
        <v>3377</v>
      </c>
      <c r="M233" s="3">
        <v>5056</v>
      </c>
      <c r="N233" s="3">
        <v>4153</v>
      </c>
      <c r="O233" s="3">
        <v>5779</v>
      </c>
      <c r="P233" s="4">
        <f t="shared" si="7"/>
        <v>37513</v>
      </c>
      <c r="Q233" s="1"/>
    </row>
    <row r="234" spans="1:17" ht="13.5" x14ac:dyDescent="0.25">
      <c r="A234" s="1" t="str">
        <f t="shared" si="6"/>
        <v>Mini Cooper</v>
      </c>
      <c r="B234" s="1" t="s">
        <v>46</v>
      </c>
      <c r="C234" s="6" t="s">
        <v>269</v>
      </c>
      <c r="D234" s="3">
        <v>1157</v>
      </c>
      <c r="E234" s="3">
        <v>1498</v>
      </c>
      <c r="F234" s="3">
        <v>907</v>
      </c>
      <c r="G234" s="3">
        <v>656</v>
      </c>
      <c r="H234" s="3">
        <v>1457</v>
      </c>
      <c r="I234" s="3">
        <v>1530</v>
      </c>
      <c r="J234" s="3">
        <v>2119</v>
      </c>
      <c r="K234" s="3">
        <v>1877</v>
      </c>
      <c r="L234" s="3">
        <v>1998</v>
      </c>
      <c r="M234" s="3">
        <v>1850</v>
      </c>
      <c r="N234" s="3">
        <v>1520</v>
      </c>
      <c r="O234" s="3">
        <v>2115</v>
      </c>
      <c r="P234" s="4">
        <f t="shared" si="7"/>
        <v>18684</v>
      </c>
      <c r="Q234" s="1"/>
    </row>
    <row r="235" spans="1:17" ht="13.5" x14ac:dyDescent="0.25">
      <c r="A235" s="1" t="str">
        <f t="shared" si="6"/>
        <v>Mini Countryman</v>
      </c>
      <c r="B235" s="1" t="s">
        <v>46</v>
      </c>
      <c r="C235" s="6" t="s">
        <v>270</v>
      </c>
      <c r="D235" s="3">
        <v>544</v>
      </c>
      <c r="E235" s="3">
        <v>704</v>
      </c>
      <c r="F235" s="3">
        <v>426</v>
      </c>
      <c r="G235" s="3">
        <v>296</v>
      </c>
      <c r="H235" s="3">
        <v>658</v>
      </c>
      <c r="I235" s="3">
        <v>691</v>
      </c>
      <c r="J235" s="3">
        <v>1054</v>
      </c>
      <c r="K235" s="3">
        <v>933</v>
      </c>
      <c r="L235" s="3">
        <v>993</v>
      </c>
      <c r="M235" s="3">
        <v>1034</v>
      </c>
      <c r="N235" s="3">
        <v>849</v>
      </c>
      <c r="O235" s="3">
        <v>1181</v>
      </c>
      <c r="P235" s="4">
        <f t="shared" si="7"/>
        <v>9363</v>
      </c>
      <c r="Q235" s="1"/>
    </row>
    <row r="236" spans="1:17" ht="13.5" x14ac:dyDescent="0.25">
      <c r="A236" s="1" t="str">
        <f t="shared" si="6"/>
        <v>Mitsubishi Eclipse Cross</v>
      </c>
      <c r="B236" s="1" t="s">
        <v>47</v>
      </c>
      <c r="C236" s="6" t="s">
        <v>271</v>
      </c>
      <c r="D236" s="3">
        <v>2118</v>
      </c>
      <c r="E236" s="3">
        <v>2036</v>
      </c>
      <c r="F236" s="3">
        <v>1030</v>
      </c>
      <c r="G236" s="3">
        <v>413</v>
      </c>
      <c r="H236" s="3">
        <v>367</v>
      </c>
      <c r="I236" s="3">
        <v>382</v>
      </c>
      <c r="J236" s="3">
        <v>852</v>
      </c>
      <c r="K236" s="3">
        <v>757</v>
      </c>
      <c r="L236" s="3">
        <v>820</v>
      </c>
      <c r="M236" s="3">
        <v>521</v>
      </c>
      <c r="N236" s="3">
        <v>428</v>
      </c>
      <c r="O236" s="3">
        <v>595</v>
      </c>
      <c r="P236" s="4">
        <f t="shared" si="7"/>
        <v>10319</v>
      </c>
      <c r="Q236" s="1"/>
    </row>
    <row r="237" spans="1:17" ht="13.5" x14ac:dyDescent="0.25">
      <c r="A237" s="1" t="str">
        <f t="shared" si="6"/>
        <v>Mitsubishi Mirage</v>
      </c>
      <c r="B237" s="1" t="s">
        <v>47</v>
      </c>
      <c r="C237" s="6" t="s">
        <v>272</v>
      </c>
      <c r="D237" s="3">
        <v>1511</v>
      </c>
      <c r="E237" s="3">
        <v>1852</v>
      </c>
      <c r="F237" s="3">
        <v>1283</v>
      </c>
      <c r="G237" s="3">
        <v>1352</v>
      </c>
      <c r="H237" s="3">
        <v>1202</v>
      </c>
      <c r="I237" s="3">
        <v>1252</v>
      </c>
      <c r="J237" s="3">
        <v>2047</v>
      </c>
      <c r="K237" s="3">
        <v>1820</v>
      </c>
      <c r="L237" s="3">
        <v>1972</v>
      </c>
      <c r="M237" s="3">
        <v>1634</v>
      </c>
      <c r="N237" s="3">
        <v>1342</v>
      </c>
      <c r="O237" s="3">
        <v>1868</v>
      </c>
      <c r="P237" s="4">
        <f t="shared" si="7"/>
        <v>19135</v>
      </c>
      <c r="Q237" s="1"/>
    </row>
    <row r="238" spans="1:17" ht="13.5" x14ac:dyDescent="0.25">
      <c r="A238" s="1" t="str">
        <f t="shared" si="6"/>
        <v>Mitsubishi Outlander</v>
      </c>
      <c r="B238" s="1" t="s">
        <v>47</v>
      </c>
      <c r="C238" s="6" t="s">
        <v>273</v>
      </c>
      <c r="D238" s="3">
        <v>3891</v>
      </c>
      <c r="E238" s="3">
        <v>5291</v>
      </c>
      <c r="F238" s="3">
        <v>3627</v>
      </c>
      <c r="G238" s="3">
        <v>972</v>
      </c>
      <c r="H238" s="3">
        <v>864</v>
      </c>
      <c r="I238" s="3">
        <v>900</v>
      </c>
      <c r="J238" s="3">
        <v>2778</v>
      </c>
      <c r="K238" s="3">
        <v>2470</v>
      </c>
      <c r="L238" s="3">
        <v>2675</v>
      </c>
      <c r="M238" s="3">
        <v>1236</v>
      </c>
      <c r="N238" s="3">
        <v>1016</v>
      </c>
      <c r="O238" s="3">
        <v>1413</v>
      </c>
      <c r="P238" s="4">
        <f t="shared" si="7"/>
        <v>27133</v>
      </c>
      <c r="Q238" s="1"/>
    </row>
    <row r="239" spans="1:17" ht="13.5" x14ac:dyDescent="0.25">
      <c r="A239" s="1" t="str">
        <f t="shared" si="6"/>
        <v>Mitsubishi Outlander PHEV</v>
      </c>
      <c r="B239" s="1" t="s">
        <v>47</v>
      </c>
      <c r="C239" s="6" t="s">
        <v>274</v>
      </c>
      <c r="D239" s="3">
        <v>95</v>
      </c>
      <c r="E239" s="3">
        <v>151</v>
      </c>
      <c r="F239" s="3">
        <v>101</v>
      </c>
      <c r="G239" s="3">
        <v>101</v>
      </c>
      <c r="H239" s="3">
        <v>90</v>
      </c>
      <c r="I239" s="3">
        <v>94</v>
      </c>
      <c r="J239" s="3">
        <v>332</v>
      </c>
      <c r="K239" s="3">
        <v>295</v>
      </c>
      <c r="L239" s="3">
        <v>320</v>
      </c>
      <c r="M239" s="3">
        <v>130</v>
      </c>
      <c r="N239" s="3">
        <v>107</v>
      </c>
      <c r="O239" s="3">
        <v>148</v>
      </c>
      <c r="P239" s="4">
        <f t="shared" si="7"/>
        <v>1964</v>
      </c>
      <c r="Q239" s="1"/>
    </row>
    <row r="240" spans="1:17" ht="13.5" x14ac:dyDescent="0.25">
      <c r="A240" s="1" t="str">
        <f t="shared" si="6"/>
        <v>Mitsubishi Outlander Sport</v>
      </c>
      <c r="B240" s="1" t="s">
        <v>47</v>
      </c>
      <c r="C240" s="6" t="s">
        <v>275</v>
      </c>
      <c r="D240" s="3">
        <v>3011</v>
      </c>
      <c r="E240" s="3">
        <v>6213</v>
      </c>
      <c r="F240" s="3">
        <v>3353</v>
      </c>
      <c r="G240" s="3">
        <v>1495</v>
      </c>
      <c r="H240" s="3">
        <v>1329</v>
      </c>
      <c r="I240" s="3">
        <v>1384</v>
      </c>
      <c r="J240" s="3">
        <v>2707</v>
      </c>
      <c r="K240" s="3">
        <v>2406</v>
      </c>
      <c r="L240" s="3">
        <v>2606</v>
      </c>
      <c r="M240" s="3">
        <v>1461</v>
      </c>
      <c r="N240" s="3">
        <v>1200</v>
      </c>
      <c r="O240" s="3">
        <v>1670</v>
      </c>
      <c r="P240" s="4">
        <f t="shared" si="7"/>
        <v>28835</v>
      </c>
      <c r="Q240" s="1"/>
    </row>
    <row r="241" spans="1:17" ht="13.5" x14ac:dyDescent="0.25">
      <c r="A241" s="1" t="str">
        <f t="shared" si="6"/>
        <v>Nissan 370Z</v>
      </c>
      <c r="B241" s="1" t="s">
        <v>48</v>
      </c>
      <c r="C241" s="6" t="s">
        <v>276</v>
      </c>
      <c r="D241" s="3">
        <v>182</v>
      </c>
      <c r="E241" s="3">
        <v>236</v>
      </c>
      <c r="F241" s="3">
        <v>143</v>
      </c>
      <c r="G241" s="3">
        <v>135</v>
      </c>
      <c r="H241" s="3">
        <v>300</v>
      </c>
      <c r="I241" s="3">
        <v>315</v>
      </c>
      <c r="J241" s="3">
        <v>178</v>
      </c>
      <c r="K241" s="3">
        <v>159</v>
      </c>
      <c r="L241" s="3">
        <v>172</v>
      </c>
      <c r="M241" s="3">
        <v>46</v>
      </c>
      <c r="N241" s="3">
        <v>37</v>
      </c>
      <c r="O241" s="3">
        <v>52</v>
      </c>
      <c r="P241" s="4">
        <f t="shared" si="7"/>
        <v>1955</v>
      </c>
      <c r="Q241" s="1"/>
    </row>
    <row r="242" spans="1:17" ht="13.5" x14ac:dyDescent="0.25">
      <c r="A242" s="1" t="str">
        <f t="shared" si="6"/>
        <v>Nissan Altima</v>
      </c>
      <c r="B242" s="1" t="s">
        <v>48</v>
      </c>
      <c r="C242" s="6" t="s">
        <v>277</v>
      </c>
      <c r="D242" s="3">
        <v>15378</v>
      </c>
      <c r="E242" s="3">
        <v>19909</v>
      </c>
      <c r="F242" s="3">
        <v>12059</v>
      </c>
      <c r="G242" s="3">
        <v>3906</v>
      </c>
      <c r="H242" s="3">
        <v>8681</v>
      </c>
      <c r="I242" s="3">
        <v>9115</v>
      </c>
      <c r="J242" s="3">
        <v>9830</v>
      </c>
      <c r="K242" s="3">
        <v>8738</v>
      </c>
      <c r="L242" s="3">
        <v>9466</v>
      </c>
      <c r="M242" s="3">
        <v>13800</v>
      </c>
      <c r="N242" s="3">
        <v>11335</v>
      </c>
      <c r="O242" s="3">
        <v>15771</v>
      </c>
      <c r="P242" s="4">
        <f t="shared" si="7"/>
        <v>137988</v>
      </c>
      <c r="Q242" s="1"/>
    </row>
    <row r="243" spans="1:17" ht="13.5" x14ac:dyDescent="0.25">
      <c r="A243" s="1" t="str">
        <f t="shared" si="6"/>
        <v>Nissan Armada</v>
      </c>
      <c r="B243" s="1" t="s">
        <v>48</v>
      </c>
      <c r="C243" s="6" t="s">
        <v>278</v>
      </c>
      <c r="D243" s="3">
        <v>2607</v>
      </c>
      <c r="E243" s="3">
        <v>3375</v>
      </c>
      <c r="F243" s="3">
        <v>2044</v>
      </c>
      <c r="G243" s="3">
        <v>923</v>
      </c>
      <c r="H243" s="3">
        <v>2051</v>
      </c>
      <c r="I243" s="3">
        <v>2153</v>
      </c>
      <c r="J243" s="3">
        <v>1531</v>
      </c>
      <c r="K243" s="3">
        <v>1361</v>
      </c>
      <c r="L243" s="3">
        <v>1474</v>
      </c>
      <c r="M243" s="3">
        <v>715</v>
      </c>
      <c r="N243" s="3">
        <v>587</v>
      </c>
      <c r="O243" s="3">
        <v>817</v>
      </c>
      <c r="P243" s="4">
        <f t="shared" si="7"/>
        <v>19638</v>
      </c>
      <c r="Q243" s="1"/>
    </row>
    <row r="244" spans="1:17" ht="13.5" x14ac:dyDescent="0.25">
      <c r="A244" s="1" t="str">
        <f t="shared" si="6"/>
        <v>Nissan Frontier</v>
      </c>
      <c r="B244" s="1" t="s">
        <v>48</v>
      </c>
      <c r="C244" s="6" t="s">
        <v>279</v>
      </c>
      <c r="D244" s="3">
        <v>3339</v>
      </c>
      <c r="E244" s="3">
        <v>4323</v>
      </c>
      <c r="F244" s="3">
        <v>2618</v>
      </c>
      <c r="G244" s="3">
        <v>1583</v>
      </c>
      <c r="H244" s="3">
        <v>3518</v>
      </c>
      <c r="I244" s="3">
        <v>3693</v>
      </c>
      <c r="J244" s="3">
        <v>2529</v>
      </c>
      <c r="K244" s="3">
        <v>2248</v>
      </c>
      <c r="L244" s="3">
        <v>20407</v>
      </c>
      <c r="M244" s="3">
        <v>3562</v>
      </c>
      <c r="N244" s="3">
        <v>2926</v>
      </c>
      <c r="O244" s="3">
        <v>4071</v>
      </c>
      <c r="P244" s="4">
        <f t="shared" si="7"/>
        <v>54817</v>
      </c>
      <c r="Q244" s="1"/>
    </row>
    <row r="245" spans="1:17" ht="13.5" x14ac:dyDescent="0.25">
      <c r="A245" s="1" t="str">
        <f t="shared" si="6"/>
        <v>Nissan GT-R</v>
      </c>
      <c r="B245" s="1" t="s">
        <v>48</v>
      </c>
      <c r="C245" s="6" t="s">
        <v>280</v>
      </c>
      <c r="D245" s="3">
        <v>19</v>
      </c>
      <c r="E245" s="3">
        <v>24</v>
      </c>
      <c r="F245" s="3">
        <v>15</v>
      </c>
      <c r="G245" s="3">
        <v>13</v>
      </c>
      <c r="H245" s="3">
        <v>28</v>
      </c>
      <c r="I245" s="3">
        <v>29</v>
      </c>
      <c r="J245" s="3">
        <v>40</v>
      </c>
      <c r="K245" s="3">
        <v>35</v>
      </c>
      <c r="L245" s="3">
        <v>38</v>
      </c>
      <c r="M245" s="3">
        <v>21</v>
      </c>
      <c r="N245" s="3">
        <v>17</v>
      </c>
      <c r="O245" s="3">
        <v>24</v>
      </c>
      <c r="P245" s="4">
        <f t="shared" si="7"/>
        <v>303</v>
      </c>
      <c r="Q245" s="1"/>
    </row>
    <row r="246" spans="1:17" ht="13.5" x14ac:dyDescent="0.25">
      <c r="A246" s="1" t="str">
        <f t="shared" si="6"/>
        <v>Nissan Kicks</v>
      </c>
      <c r="B246" s="1" t="s">
        <v>48</v>
      </c>
      <c r="C246" s="6" t="s">
        <v>281</v>
      </c>
      <c r="D246" s="3">
        <v>4537</v>
      </c>
      <c r="E246" s="3">
        <v>5874</v>
      </c>
      <c r="F246" s="3">
        <v>3558</v>
      </c>
      <c r="G246" s="3">
        <v>1655</v>
      </c>
      <c r="H246" s="3">
        <v>3677</v>
      </c>
      <c r="I246" s="3">
        <v>3861</v>
      </c>
      <c r="J246" s="3">
        <v>6830</v>
      </c>
      <c r="K246" s="3">
        <v>6071</v>
      </c>
      <c r="L246" s="3">
        <v>6577</v>
      </c>
      <c r="M246" s="3">
        <v>5471</v>
      </c>
      <c r="N246" s="3">
        <v>4494</v>
      </c>
      <c r="O246" s="3">
        <v>6253</v>
      </c>
      <c r="P246" s="4">
        <f t="shared" si="7"/>
        <v>58858</v>
      </c>
      <c r="Q246" s="1"/>
    </row>
    <row r="247" spans="1:17" ht="13.5" x14ac:dyDescent="0.25">
      <c r="A247" s="1" t="str">
        <f t="shared" si="6"/>
        <v>Nissan Leaf</v>
      </c>
      <c r="B247" s="1" t="s">
        <v>48</v>
      </c>
      <c r="C247" s="6" t="s">
        <v>282</v>
      </c>
      <c r="D247" s="3">
        <v>636</v>
      </c>
      <c r="E247" s="3">
        <v>823</v>
      </c>
      <c r="F247" s="3">
        <v>499</v>
      </c>
      <c r="G247" s="3">
        <v>189</v>
      </c>
      <c r="H247" s="3">
        <v>420</v>
      </c>
      <c r="I247" s="3">
        <v>441</v>
      </c>
      <c r="J247" s="3">
        <v>672</v>
      </c>
      <c r="K247" s="3">
        <v>597</v>
      </c>
      <c r="L247" s="3">
        <v>647</v>
      </c>
      <c r="M247" s="3">
        <v>1566</v>
      </c>
      <c r="N247" s="3">
        <v>1280</v>
      </c>
      <c r="O247" s="3">
        <v>1789</v>
      </c>
      <c r="P247" s="4">
        <f t="shared" si="7"/>
        <v>9559</v>
      </c>
      <c r="Q247" s="1"/>
    </row>
    <row r="248" spans="1:17" ht="13.5" x14ac:dyDescent="0.25">
      <c r="A248" s="1" t="str">
        <f t="shared" si="6"/>
        <v>Nissan Maxima</v>
      </c>
      <c r="B248" s="1" t="s">
        <v>48</v>
      </c>
      <c r="C248" s="6" t="s">
        <v>283</v>
      </c>
      <c r="D248" s="3">
        <v>1982</v>
      </c>
      <c r="E248" s="3">
        <v>2566</v>
      </c>
      <c r="F248" s="3">
        <v>1554</v>
      </c>
      <c r="G248" s="3">
        <v>717</v>
      </c>
      <c r="H248" s="3">
        <v>1673</v>
      </c>
      <c r="I248" s="3">
        <v>1673</v>
      </c>
      <c r="J248" s="3">
        <v>1392</v>
      </c>
      <c r="K248" s="3">
        <v>1237</v>
      </c>
      <c r="L248" s="3">
        <v>1340</v>
      </c>
      <c r="M248" s="3">
        <v>1352</v>
      </c>
      <c r="N248" s="3">
        <v>1110</v>
      </c>
      <c r="O248" s="3">
        <v>1545</v>
      </c>
      <c r="P248" s="4">
        <f t="shared" si="7"/>
        <v>18141</v>
      </c>
      <c r="Q248" s="1"/>
    </row>
    <row r="249" spans="1:17" ht="13.5" x14ac:dyDescent="0.25">
      <c r="A249" s="1" t="str">
        <f t="shared" si="6"/>
        <v>Nissan Murano</v>
      </c>
      <c r="B249" s="1" t="s">
        <v>48</v>
      </c>
      <c r="C249" s="6" t="s">
        <v>284</v>
      </c>
      <c r="D249" s="3">
        <v>5094</v>
      </c>
      <c r="E249" s="3">
        <v>6595</v>
      </c>
      <c r="F249" s="3">
        <v>3994</v>
      </c>
      <c r="G249" s="3">
        <v>2573</v>
      </c>
      <c r="H249" s="3">
        <v>5717</v>
      </c>
      <c r="I249" s="3">
        <v>6003</v>
      </c>
      <c r="J249" s="3">
        <v>5219</v>
      </c>
      <c r="K249" s="3">
        <v>4639</v>
      </c>
      <c r="L249" s="3">
        <v>5026</v>
      </c>
      <c r="M249" s="3">
        <v>4519</v>
      </c>
      <c r="N249" s="3">
        <v>3712</v>
      </c>
      <c r="O249" s="3">
        <v>5165</v>
      </c>
      <c r="P249" s="4">
        <f t="shared" si="7"/>
        <v>58256</v>
      </c>
      <c r="Q249" s="1"/>
    </row>
    <row r="250" spans="1:17" ht="13.5" x14ac:dyDescent="0.25">
      <c r="A250" s="1" t="str">
        <f t="shared" si="6"/>
        <v>Nissan NV</v>
      </c>
      <c r="B250" s="1" t="s">
        <v>48</v>
      </c>
      <c r="C250" s="6" t="s">
        <v>285</v>
      </c>
      <c r="D250" s="3">
        <v>1211</v>
      </c>
      <c r="E250" s="3">
        <v>1568</v>
      </c>
      <c r="F250" s="3">
        <v>950</v>
      </c>
      <c r="G250" s="3">
        <v>520</v>
      </c>
      <c r="H250" s="3">
        <v>1155</v>
      </c>
      <c r="I250" s="3">
        <v>1213</v>
      </c>
      <c r="J250" s="3">
        <v>1318</v>
      </c>
      <c r="K250" s="3">
        <v>1172</v>
      </c>
      <c r="L250" s="3">
        <v>1270</v>
      </c>
      <c r="M250" s="3">
        <v>1643</v>
      </c>
      <c r="N250" s="3">
        <v>1350</v>
      </c>
      <c r="O250" s="3">
        <v>1878</v>
      </c>
      <c r="P250" s="4">
        <f t="shared" si="7"/>
        <v>15248</v>
      </c>
      <c r="Q250" s="1"/>
    </row>
    <row r="251" spans="1:17" ht="13.5" x14ac:dyDescent="0.25">
      <c r="A251" s="1" t="str">
        <f t="shared" si="6"/>
        <v>Nissan NV200</v>
      </c>
      <c r="B251" s="1" t="s">
        <v>48</v>
      </c>
      <c r="C251" s="6" t="s">
        <v>286</v>
      </c>
      <c r="D251" s="3">
        <v>1540</v>
      </c>
      <c r="E251" s="3">
        <v>1993</v>
      </c>
      <c r="F251" s="3">
        <v>1207</v>
      </c>
      <c r="G251" s="3">
        <v>583</v>
      </c>
      <c r="H251" s="3">
        <v>1295</v>
      </c>
      <c r="I251" s="3">
        <v>1360</v>
      </c>
      <c r="J251" s="3">
        <v>1674</v>
      </c>
      <c r="K251" s="3">
        <v>1488</v>
      </c>
      <c r="L251" s="3">
        <v>1612</v>
      </c>
      <c r="M251" s="3">
        <v>1476</v>
      </c>
      <c r="N251" s="3">
        <v>1212</v>
      </c>
      <c r="O251" s="3">
        <v>1686</v>
      </c>
      <c r="P251" s="4">
        <f t="shared" si="7"/>
        <v>17126</v>
      </c>
      <c r="Q251" s="1"/>
    </row>
    <row r="252" spans="1:17" ht="13.5" x14ac:dyDescent="0.25">
      <c r="A252" s="1" t="str">
        <f t="shared" si="6"/>
        <v>Nissan Pathfinder</v>
      </c>
      <c r="B252" s="1" t="s">
        <v>48</v>
      </c>
      <c r="C252" s="6" t="s">
        <v>287</v>
      </c>
      <c r="D252" s="3">
        <v>5876</v>
      </c>
      <c r="E252" s="3">
        <v>7608</v>
      </c>
      <c r="F252" s="3">
        <v>4608</v>
      </c>
      <c r="G252" s="3">
        <v>1595</v>
      </c>
      <c r="H252" s="3">
        <v>3544</v>
      </c>
      <c r="I252" s="3">
        <v>3722</v>
      </c>
      <c r="J252" s="3">
        <v>3707</v>
      </c>
      <c r="K252" s="3">
        <v>3295</v>
      </c>
      <c r="L252" s="3">
        <v>3570</v>
      </c>
      <c r="M252" s="3">
        <v>3729</v>
      </c>
      <c r="N252" s="3">
        <v>3063</v>
      </c>
      <c r="O252" s="3">
        <v>4262</v>
      </c>
      <c r="P252" s="4">
        <f t="shared" si="7"/>
        <v>48579</v>
      </c>
      <c r="Q252" s="1"/>
    </row>
    <row r="253" spans="1:17" ht="13.5" x14ac:dyDescent="0.25">
      <c r="A253" s="1" t="str">
        <f t="shared" si="6"/>
        <v>Nissan Quest</v>
      </c>
      <c r="B253" s="1" t="s">
        <v>48</v>
      </c>
      <c r="C253" s="6" t="s">
        <v>288</v>
      </c>
      <c r="D253" s="3">
        <v>0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4">
        <f t="shared" si="7"/>
        <v>0</v>
      </c>
      <c r="Q253" s="1"/>
    </row>
    <row r="254" spans="1:17" ht="13.5" x14ac:dyDescent="0.25">
      <c r="A254" s="1" t="str">
        <f t="shared" si="6"/>
        <v>Nissan Rogue</v>
      </c>
      <c r="B254" s="1" t="s">
        <v>48</v>
      </c>
      <c r="C254" s="6" t="s">
        <v>289</v>
      </c>
      <c r="D254" s="3">
        <v>19396</v>
      </c>
      <c r="E254" s="3">
        <v>25111</v>
      </c>
      <c r="F254" s="3">
        <v>15210</v>
      </c>
      <c r="G254" s="3">
        <v>8505</v>
      </c>
      <c r="H254" s="3">
        <v>18900</v>
      </c>
      <c r="I254" s="3">
        <v>19845</v>
      </c>
      <c r="J254" s="3">
        <v>21192</v>
      </c>
      <c r="K254" s="3">
        <v>18837</v>
      </c>
      <c r="L254" s="3">
        <v>20407</v>
      </c>
      <c r="M254" s="3">
        <v>20421</v>
      </c>
      <c r="N254" s="3">
        <v>16774</v>
      </c>
      <c r="O254" s="3">
        <v>23338</v>
      </c>
      <c r="P254" s="4">
        <f t="shared" si="7"/>
        <v>227936</v>
      </c>
      <c r="Q254" s="1"/>
    </row>
    <row r="255" spans="1:17" ht="13.5" x14ac:dyDescent="0.25">
      <c r="A255" s="1" t="str">
        <f t="shared" si="6"/>
        <v>Nissan Sentra</v>
      </c>
      <c r="B255" s="1" t="s">
        <v>48</v>
      </c>
      <c r="C255" s="6" t="s">
        <v>290</v>
      </c>
      <c r="D255" s="3">
        <v>7756</v>
      </c>
      <c r="E255" s="3">
        <v>10041</v>
      </c>
      <c r="F255" s="3">
        <v>6082</v>
      </c>
      <c r="G255" s="3">
        <v>3583</v>
      </c>
      <c r="H255" s="3">
        <v>7963</v>
      </c>
      <c r="I255" s="3">
        <v>8361</v>
      </c>
      <c r="J255" s="3">
        <v>9147</v>
      </c>
      <c r="K255" s="3">
        <v>8131</v>
      </c>
      <c r="L255" s="3">
        <v>8808</v>
      </c>
      <c r="M255" s="3">
        <v>8357</v>
      </c>
      <c r="N255" s="3">
        <v>6865</v>
      </c>
      <c r="O255" s="3">
        <v>9551</v>
      </c>
      <c r="P255" s="4">
        <f t="shared" si="7"/>
        <v>94645</v>
      </c>
      <c r="Q255" s="1"/>
    </row>
    <row r="256" spans="1:17" ht="13.5" x14ac:dyDescent="0.25">
      <c r="A256" s="1" t="str">
        <f t="shared" si="6"/>
        <v>Nissan Titan</v>
      </c>
      <c r="B256" s="1" t="s">
        <v>48</v>
      </c>
      <c r="C256" s="6" t="s">
        <v>291</v>
      </c>
      <c r="D256" s="3">
        <v>1862</v>
      </c>
      <c r="E256" s="3">
        <v>2410</v>
      </c>
      <c r="F256" s="3">
        <v>1460</v>
      </c>
      <c r="G256" s="3">
        <v>1164</v>
      </c>
      <c r="H256" s="3">
        <v>2586</v>
      </c>
      <c r="I256" s="3">
        <v>2715</v>
      </c>
      <c r="J256" s="3">
        <v>2527</v>
      </c>
      <c r="K256" s="3">
        <v>2246</v>
      </c>
      <c r="L256" s="3">
        <v>2434</v>
      </c>
      <c r="M256" s="3">
        <v>2374</v>
      </c>
      <c r="N256" s="3">
        <v>1950</v>
      </c>
      <c r="O256" s="3">
        <v>2713</v>
      </c>
      <c r="P256" s="4">
        <f t="shared" si="7"/>
        <v>26441</v>
      </c>
      <c r="Q256" s="1"/>
    </row>
    <row r="257" spans="1:17" ht="13.5" x14ac:dyDescent="0.25">
      <c r="A257" s="1" t="str">
        <f t="shared" si="6"/>
        <v>Nissan Versa</v>
      </c>
      <c r="B257" s="1" t="s">
        <v>48</v>
      </c>
      <c r="C257" s="6" t="s">
        <v>292</v>
      </c>
      <c r="D257" s="3">
        <v>3955</v>
      </c>
      <c r="E257" s="3">
        <v>5120</v>
      </c>
      <c r="F257" s="3">
        <v>3101</v>
      </c>
      <c r="G257" s="3">
        <v>1380</v>
      </c>
      <c r="H257" s="3">
        <v>3066</v>
      </c>
      <c r="I257" s="3">
        <v>3220</v>
      </c>
      <c r="J257" s="3">
        <v>3670</v>
      </c>
      <c r="K257" s="3">
        <v>3262</v>
      </c>
      <c r="L257" s="3">
        <v>3534</v>
      </c>
      <c r="M257" s="3">
        <v>6060</v>
      </c>
      <c r="N257" s="3">
        <v>4978</v>
      </c>
      <c r="O257" s="3">
        <v>6926</v>
      </c>
      <c r="P257" s="4">
        <f t="shared" si="7"/>
        <v>48272</v>
      </c>
      <c r="Q257" s="1"/>
    </row>
    <row r="258" spans="1:17" ht="13.5" x14ac:dyDescent="0.25">
      <c r="A258" s="1" t="str">
        <f t="shared" si="6"/>
        <v>Porsche 718</v>
      </c>
      <c r="B258" s="1" t="s">
        <v>49</v>
      </c>
      <c r="C258" s="6">
        <v>718</v>
      </c>
      <c r="D258" s="3">
        <v>130</v>
      </c>
      <c r="E258" s="3">
        <v>168</v>
      </c>
      <c r="F258" s="3">
        <v>102</v>
      </c>
      <c r="G258" s="3">
        <v>85</v>
      </c>
      <c r="H258" s="3">
        <v>189</v>
      </c>
      <c r="I258" s="3">
        <v>198</v>
      </c>
      <c r="J258" s="3">
        <v>380</v>
      </c>
      <c r="K258" s="3">
        <v>338</v>
      </c>
      <c r="L258" s="3">
        <v>366</v>
      </c>
      <c r="M258" s="3">
        <v>503</v>
      </c>
      <c r="N258" s="3">
        <v>413</v>
      </c>
      <c r="O258" s="3">
        <v>575</v>
      </c>
      <c r="P258" s="4">
        <f t="shared" si="7"/>
        <v>3447</v>
      </c>
      <c r="Q258" s="1"/>
    </row>
    <row r="259" spans="1:17" ht="13.5" x14ac:dyDescent="0.25">
      <c r="A259" s="1" t="str">
        <f t="shared" si="6"/>
        <v>Porsche 911</v>
      </c>
      <c r="B259" s="1" t="s">
        <v>49</v>
      </c>
      <c r="C259" s="6">
        <v>911</v>
      </c>
      <c r="D259" s="3">
        <v>841</v>
      </c>
      <c r="E259" s="3">
        <v>1089</v>
      </c>
      <c r="F259" s="3">
        <v>660</v>
      </c>
      <c r="G259" s="3">
        <v>404</v>
      </c>
      <c r="H259" s="3">
        <v>898</v>
      </c>
      <c r="I259" s="3">
        <v>943</v>
      </c>
      <c r="J259" s="3">
        <v>549</v>
      </c>
      <c r="K259" s="3">
        <v>488</v>
      </c>
      <c r="L259" s="3">
        <v>529</v>
      </c>
      <c r="M259" s="3">
        <v>822</v>
      </c>
      <c r="N259" s="3">
        <v>676</v>
      </c>
      <c r="O259" s="3">
        <v>940</v>
      </c>
      <c r="P259" s="4">
        <f t="shared" si="7"/>
        <v>8839</v>
      </c>
      <c r="Q259" s="1"/>
    </row>
    <row r="260" spans="1:17" ht="13.5" x14ac:dyDescent="0.25">
      <c r="A260" s="1" t="str">
        <f t="shared" si="6"/>
        <v>Porsche Cayenne</v>
      </c>
      <c r="B260" s="1" t="s">
        <v>49</v>
      </c>
      <c r="C260" s="6" t="s">
        <v>293</v>
      </c>
      <c r="D260" s="3">
        <v>1241</v>
      </c>
      <c r="E260" s="3">
        <v>1607</v>
      </c>
      <c r="F260" s="3">
        <v>973</v>
      </c>
      <c r="G260" s="3">
        <v>688</v>
      </c>
      <c r="H260" s="3">
        <v>1529</v>
      </c>
      <c r="I260" s="3">
        <v>1605</v>
      </c>
      <c r="J260" s="3">
        <v>1581</v>
      </c>
      <c r="K260" s="3">
        <v>1405</v>
      </c>
      <c r="L260" s="3">
        <v>1523</v>
      </c>
      <c r="M260" s="3">
        <v>2004</v>
      </c>
      <c r="N260" s="3">
        <v>1646</v>
      </c>
      <c r="O260" s="3">
        <v>2290</v>
      </c>
      <c r="P260" s="4">
        <f t="shared" si="7"/>
        <v>18092</v>
      </c>
      <c r="Q260" s="1"/>
    </row>
    <row r="261" spans="1:17" ht="13.5" x14ac:dyDescent="0.25">
      <c r="A261" s="1" t="str">
        <f t="shared" si="6"/>
        <v>Porsche Macan</v>
      </c>
      <c r="B261" s="1" t="s">
        <v>49</v>
      </c>
      <c r="C261" s="6" t="s">
        <v>294</v>
      </c>
      <c r="D261" s="3">
        <v>1227</v>
      </c>
      <c r="E261" s="3">
        <v>1588</v>
      </c>
      <c r="F261" s="3">
        <v>962</v>
      </c>
      <c r="G261" s="3">
        <v>714</v>
      </c>
      <c r="H261" s="3">
        <v>1586</v>
      </c>
      <c r="I261" s="3">
        <v>1665</v>
      </c>
      <c r="J261" s="3">
        <v>1917</v>
      </c>
      <c r="K261" s="3">
        <v>1704</v>
      </c>
      <c r="L261" s="3">
        <v>1846</v>
      </c>
      <c r="M261" s="3">
        <v>1830</v>
      </c>
      <c r="N261" s="3">
        <v>1503</v>
      </c>
      <c r="O261" s="3">
        <v>2091</v>
      </c>
      <c r="P261" s="4">
        <f t="shared" si="7"/>
        <v>18633</v>
      </c>
      <c r="Q261" s="1"/>
    </row>
    <row r="262" spans="1:17" ht="13.5" x14ac:dyDescent="0.25">
      <c r="A262" s="1" t="str">
        <f t="shared" si="6"/>
        <v>Porsche Panamera</v>
      </c>
      <c r="B262" s="1" t="s">
        <v>49</v>
      </c>
      <c r="C262" s="6" t="s">
        <v>295</v>
      </c>
      <c r="D262" s="3">
        <v>385</v>
      </c>
      <c r="E262" s="3">
        <v>498</v>
      </c>
      <c r="F262" s="3">
        <v>302</v>
      </c>
      <c r="G262" s="3">
        <v>157</v>
      </c>
      <c r="H262" s="3">
        <v>348</v>
      </c>
      <c r="I262" s="3">
        <v>366</v>
      </c>
      <c r="J262" s="3">
        <v>373</v>
      </c>
      <c r="K262" s="3">
        <v>332</v>
      </c>
      <c r="L262" s="3">
        <v>359</v>
      </c>
      <c r="M262" s="3">
        <v>253</v>
      </c>
      <c r="N262" s="3">
        <v>208</v>
      </c>
      <c r="O262" s="3">
        <v>290</v>
      </c>
      <c r="P262" s="4">
        <f t="shared" si="7"/>
        <v>3871</v>
      </c>
      <c r="Q262" s="1"/>
    </row>
    <row r="263" spans="1:17" ht="13.5" x14ac:dyDescent="0.25">
      <c r="A263" s="1" t="str">
        <f t="shared" si="6"/>
        <v>Porsche Taycan</v>
      </c>
      <c r="B263" s="1" t="s">
        <v>49</v>
      </c>
      <c r="C263" s="6" t="s">
        <v>296</v>
      </c>
      <c r="D263" s="3">
        <v>72</v>
      </c>
      <c r="E263" s="3">
        <v>83</v>
      </c>
      <c r="F263" s="3">
        <v>56</v>
      </c>
      <c r="G263" s="3">
        <v>147</v>
      </c>
      <c r="H263" s="3">
        <v>327</v>
      </c>
      <c r="I263" s="3">
        <v>344</v>
      </c>
      <c r="J263" s="3">
        <v>652</v>
      </c>
      <c r="K263" s="3">
        <v>579</v>
      </c>
      <c r="L263" s="3">
        <v>627</v>
      </c>
      <c r="M263" s="3">
        <v>512</v>
      </c>
      <c r="N263" s="3">
        <v>420</v>
      </c>
      <c r="O263" s="3">
        <v>585</v>
      </c>
      <c r="P263" s="4">
        <f t="shared" si="7"/>
        <v>4404</v>
      </c>
      <c r="Q263" s="1"/>
    </row>
    <row r="264" spans="1:17" ht="13.5" x14ac:dyDescent="0.25">
      <c r="A264" s="1" t="str">
        <f t="shared" si="6"/>
        <v>Ram Pickup</v>
      </c>
      <c r="B264" s="1" t="s">
        <v>50</v>
      </c>
      <c r="C264" s="6" t="s">
        <v>297</v>
      </c>
      <c r="D264" s="3">
        <v>41836</v>
      </c>
      <c r="E264" s="3">
        <v>54163</v>
      </c>
      <c r="F264" s="3">
        <v>32807</v>
      </c>
      <c r="G264" s="3">
        <v>21141</v>
      </c>
      <c r="H264" s="3">
        <v>46979</v>
      </c>
      <c r="I264" s="3">
        <v>49328</v>
      </c>
      <c r="J264" s="3">
        <v>54756</v>
      </c>
      <c r="K264" s="3">
        <v>48672</v>
      </c>
      <c r="L264" s="3">
        <v>52728</v>
      </c>
      <c r="M264" s="3">
        <v>54403</v>
      </c>
      <c r="N264" s="3">
        <v>44688</v>
      </c>
      <c r="O264" s="3">
        <v>62175</v>
      </c>
      <c r="P264" s="4">
        <f t="shared" si="7"/>
        <v>563676</v>
      </c>
      <c r="Q264" s="1"/>
    </row>
    <row r="265" spans="1:17" ht="13.5" x14ac:dyDescent="0.25">
      <c r="A265" s="1" t="str">
        <f t="shared" si="6"/>
        <v>Ram ProMaster</v>
      </c>
      <c r="B265" s="1" t="s">
        <v>50</v>
      </c>
      <c r="C265" s="6" t="s">
        <v>298</v>
      </c>
      <c r="D265" s="3">
        <v>3113</v>
      </c>
      <c r="E265" s="3">
        <v>4030</v>
      </c>
      <c r="F265" s="3">
        <v>2441</v>
      </c>
      <c r="G265" s="3">
        <v>1424</v>
      </c>
      <c r="H265" s="3">
        <v>3165</v>
      </c>
      <c r="I265" s="3">
        <v>3323</v>
      </c>
      <c r="J265" s="3">
        <v>5610</v>
      </c>
      <c r="K265" s="3">
        <v>4986</v>
      </c>
      <c r="L265" s="3">
        <v>5402</v>
      </c>
      <c r="M265" s="3">
        <v>5755</v>
      </c>
      <c r="N265" s="3">
        <v>4727</v>
      </c>
      <c r="O265" s="3">
        <v>6577</v>
      </c>
      <c r="P265" s="4">
        <f t="shared" si="7"/>
        <v>50553</v>
      </c>
      <c r="Q265" s="1"/>
    </row>
    <row r="266" spans="1:17" ht="13.5" x14ac:dyDescent="0.25">
      <c r="A266" s="1" t="str">
        <f t="shared" si="6"/>
        <v>Ram ProMaster City</v>
      </c>
      <c r="B266" s="1" t="s">
        <v>50</v>
      </c>
      <c r="C266" s="6" t="s">
        <v>299</v>
      </c>
      <c r="D266" s="3">
        <v>681</v>
      </c>
      <c r="E266" s="3">
        <v>881</v>
      </c>
      <c r="F266" s="3">
        <v>534</v>
      </c>
      <c r="G266" s="3">
        <v>418</v>
      </c>
      <c r="H266" s="3">
        <v>929</v>
      </c>
      <c r="I266" s="3">
        <v>975</v>
      </c>
      <c r="J266" s="3">
        <v>1059</v>
      </c>
      <c r="K266" s="3">
        <v>941</v>
      </c>
      <c r="L266" s="3">
        <v>1020</v>
      </c>
      <c r="M266" s="3">
        <v>1002</v>
      </c>
      <c r="N266" s="3">
        <v>823</v>
      </c>
      <c r="O266" s="3">
        <v>1145</v>
      </c>
      <c r="P266" s="4">
        <f t="shared" si="7"/>
        <v>10408</v>
      </c>
      <c r="Q266" s="1"/>
    </row>
    <row r="267" spans="1:17" ht="13.5" x14ac:dyDescent="0.25">
      <c r="A267" s="1" t="str">
        <f t="shared" ref="A267:A330" si="8">CONCATENATE(B267," ",C267)</f>
        <v>Subaru Ascent</v>
      </c>
      <c r="B267" s="1" t="s">
        <v>51</v>
      </c>
      <c r="C267" s="6" t="s">
        <v>300</v>
      </c>
      <c r="D267" s="3">
        <v>5606</v>
      </c>
      <c r="E267" s="3">
        <v>5982</v>
      </c>
      <c r="F267" s="3">
        <v>4036</v>
      </c>
      <c r="G267" s="3">
        <v>3954</v>
      </c>
      <c r="H267" s="3">
        <v>5740</v>
      </c>
      <c r="I267" s="3">
        <v>6079</v>
      </c>
      <c r="J267" s="3">
        <v>6075</v>
      </c>
      <c r="K267" s="3">
        <v>6619</v>
      </c>
      <c r="L267" s="3">
        <v>5744</v>
      </c>
      <c r="M267" s="3">
        <v>5865</v>
      </c>
      <c r="N267" s="3">
        <v>5231</v>
      </c>
      <c r="O267" s="3">
        <v>6692</v>
      </c>
      <c r="P267" s="4">
        <f t="shared" ref="P267:P330" si="9">SUM(D267:O267)</f>
        <v>67623</v>
      </c>
      <c r="Q267" s="1"/>
    </row>
    <row r="268" spans="1:17" ht="13.5" x14ac:dyDescent="0.25">
      <c r="A268" s="1" t="str">
        <f t="shared" si="8"/>
        <v>Subaru BRZ</v>
      </c>
      <c r="B268" s="1" t="s">
        <v>51</v>
      </c>
      <c r="C268" s="6" t="s">
        <v>301</v>
      </c>
      <c r="D268" s="3">
        <v>112</v>
      </c>
      <c r="E268" s="3">
        <v>166</v>
      </c>
      <c r="F268" s="3">
        <v>114</v>
      </c>
      <c r="G268" s="3">
        <v>105</v>
      </c>
      <c r="H268" s="3">
        <v>227</v>
      </c>
      <c r="I268" s="3">
        <v>238</v>
      </c>
      <c r="J268" s="3">
        <v>266</v>
      </c>
      <c r="K268" s="3">
        <v>267</v>
      </c>
      <c r="L268" s="3">
        <v>251</v>
      </c>
      <c r="M268" s="3">
        <v>221</v>
      </c>
      <c r="N268" s="3">
        <v>129</v>
      </c>
      <c r="O268" s="3">
        <v>171</v>
      </c>
      <c r="P268" s="4">
        <f t="shared" si="9"/>
        <v>2267</v>
      </c>
      <c r="Q268" s="1"/>
    </row>
    <row r="269" spans="1:17" ht="13.5" x14ac:dyDescent="0.25">
      <c r="A269" s="1" t="str">
        <f t="shared" si="8"/>
        <v>Subaru CrossTrek</v>
      </c>
      <c r="B269" s="1" t="s">
        <v>51</v>
      </c>
      <c r="C269" s="6" t="s">
        <v>302</v>
      </c>
      <c r="D269" s="3">
        <v>8131</v>
      </c>
      <c r="E269" s="3">
        <v>8287</v>
      </c>
      <c r="F269" s="3">
        <v>5098</v>
      </c>
      <c r="G269" s="3">
        <v>4489</v>
      </c>
      <c r="H269" s="3">
        <v>9486</v>
      </c>
      <c r="I269" s="3">
        <v>10241</v>
      </c>
      <c r="J269" s="3">
        <v>8913</v>
      </c>
      <c r="K269" s="3">
        <v>10329</v>
      </c>
      <c r="L269" s="3">
        <v>11950</v>
      </c>
      <c r="M269" s="3">
        <v>14994</v>
      </c>
      <c r="N269" s="3">
        <v>12841</v>
      </c>
      <c r="O269" s="3">
        <v>14957</v>
      </c>
      <c r="P269" s="4">
        <f t="shared" si="9"/>
        <v>119716</v>
      </c>
      <c r="Q269" s="1"/>
    </row>
    <row r="270" spans="1:17" ht="13.5" x14ac:dyDescent="0.25">
      <c r="A270" s="1" t="str">
        <f t="shared" si="8"/>
        <v>Subaru Forester</v>
      </c>
      <c r="B270" s="1" t="s">
        <v>51</v>
      </c>
      <c r="C270" s="6" t="s">
        <v>303</v>
      </c>
      <c r="D270" s="3">
        <v>13209</v>
      </c>
      <c r="E270" s="3">
        <v>16458</v>
      </c>
      <c r="F270" s="3">
        <v>9413</v>
      </c>
      <c r="G270" s="3">
        <v>9431</v>
      </c>
      <c r="H270" s="3">
        <v>17859</v>
      </c>
      <c r="I270" s="3">
        <v>19490</v>
      </c>
      <c r="J270" s="3">
        <v>15313</v>
      </c>
      <c r="K270" s="3">
        <v>17261</v>
      </c>
      <c r="L270" s="3">
        <v>15648</v>
      </c>
      <c r="M270" s="3">
        <v>14697</v>
      </c>
      <c r="N270" s="3">
        <v>12211</v>
      </c>
      <c r="O270" s="3">
        <v>16006</v>
      </c>
      <c r="P270" s="4">
        <f t="shared" si="9"/>
        <v>176996</v>
      </c>
      <c r="Q270" s="1"/>
    </row>
    <row r="271" spans="1:17" ht="13.5" x14ac:dyDescent="0.25">
      <c r="A271" s="1" t="str">
        <f t="shared" si="8"/>
        <v>Subaru Impreza</v>
      </c>
      <c r="B271" s="1" t="s">
        <v>51</v>
      </c>
      <c r="C271" s="6" t="s">
        <v>304</v>
      </c>
      <c r="D271" s="3">
        <v>3978</v>
      </c>
      <c r="E271" s="3">
        <v>3916</v>
      </c>
      <c r="F271" s="3">
        <v>2395</v>
      </c>
      <c r="G271" s="3">
        <v>1857</v>
      </c>
      <c r="H271" s="3">
        <v>3085</v>
      </c>
      <c r="I271" s="3">
        <v>3389</v>
      </c>
      <c r="J271" s="3">
        <v>4259</v>
      </c>
      <c r="K271" s="3">
        <v>4654</v>
      </c>
      <c r="L271" s="3">
        <v>4622</v>
      </c>
      <c r="M271" s="3">
        <v>4329</v>
      </c>
      <c r="N271" s="3">
        <v>3174</v>
      </c>
      <c r="O271" s="3">
        <v>3970</v>
      </c>
      <c r="P271" s="4">
        <f t="shared" si="9"/>
        <v>43628</v>
      </c>
      <c r="Q271" s="1"/>
    </row>
    <row r="272" spans="1:17" ht="13.5" x14ac:dyDescent="0.25">
      <c r="A272" s="1" t="str">
        <f t="shared" si="8"/>
        <v>Subaru Legacy</v>
      </c>
      <c r="B272" s="1" t="s">
        <v>51</v>
      </c>
      <c r="C272" s="6" t="s">
        <v>306</v>
      </c>
      <c r="D272" s="3">
        <v>2471</v>
      </c>
      <c r="E272" s="3">
        <v>2434</v>
      </c>
      <c r="F272" s="3">
        <v>1630</v>
      </c>
      <c r="G272" s="3">
        <v>1358</v>
      </c>
      <c r="H272" s="3">
        <v>1954</v>
      </c>
      <c r="I272" s="3">
        <v>2054</v>
      </c>
      <c r="J272" s="3">
        <v>2629</v>
      </c>
      <c r="K272" s="3">
        <v>2681</v>
      </c>
      <c r="L272" s="3">
        <v>2825</v>
      </c>
      <c r="M272" s="3">
        <v>2490</v>
      </c>
      <c r="N272" s="3">
        <v>2192</v>
      </c>
      <c r="O272" s="3">
        <v>2522</v>
      </c>
      <c r="P272" s="4">
        <f t="shared" si="9"/>
        <v>27240</v>
      </c>
      <c r="Q272" s="1"/>
    </row>
    <row r="273" spans="1:17" ht="13.5" x14ac:dyDescent="0.25">
      <c r="A273" s="1" t="str">
        <f t="shared" si="8"/>
        <v>Subaru Outback</v>
      </c>
      <c r="B273" s="1" t="s">
        <v>51</v>
      </c>
      <c r="C273" s="6" t="s">
        <v>307</v>
      </c>
      <c r="D273" s="3">
        <v>11379</v>
      </c>
      <c r="E273" s="3">
        <v>12665</v>
      </c>
      <c r="F273" s="3">
        <v>8571</v>
      </c>
      <c r="G273" s="3">
        <v>8058</v>
      </c>
      <c r="H273" s="3">
        <v>11382</v>
      </c>
      <c r="I273" s="3">
        <v>10250</v>
      </c>
      <c r="J273" s="3">
        <v>12158</v>
      </c>
      <c r="K273" s="3">
        <v>14856</v>
      </c>
      <c r="L273" s="3">
        <v>17023</v>
      </c>
      <c r="M273" s="3">
        <v>16755</v>
      </c>
      <c r="N273" s="3">
        <v>12921</v>
      </c>
      <c r="O273" s="3">
        <v>17272</v>
      </c>
      <c r="P273" s="4">
        <f t="shared" si="9"/>
        <v>153290</v>
      </c>
      <c r="Q273" s="1"/>
    </row>
    <row r="274" spans="1:17" ht="13.5" x14ac:dyDescent="0.25">
      <c r="A274" s="1" t="str">
        <f t="shared" si="8"/>
        <v>Subaru WRX</v>
      </c>
      <c r="B274" s="1" t="s">
        <v>51</v>
      </c>
      <c r="C274" s="6" t="s">
        <v>305</v>
      </c>
      <c r="D274" s="3">
        <v>1399</v>
      </c>
      <c r="E274" s="3">
        <v>1787</v>
      </c>
      <c r="F274" s="3">
        <v>1354</v>
      </c>
      <c r="G274" s="3">
        <v>1368</v>
      </c>
      <c r="H274" s="3">
        <v>2255</v>
      </c>
      <c r="I274" s="3">
        <v>2170</v>
      </c>
      <c r="J274" s="3">
        <v>1845</v>
      </c>
      <c r="K274" s="3">
        <v>1218</v>
      </c>
      <c r="L274" s="3">
        <v>2040</v>
      </c>
      <c r="M274" s="3">
        <v>2060</v>
      </c>
      <c r="N274" s="3">
        <v>1714</v>
      </c>
      <c r="O274" s="3">
        <v>1968</v>
      </c>
      <c r="P274" s="4">
        <f t="shared" si="9"/>
        <v>21178</v>
      </c>
      <c r="Q274" s="1"/>
    </row>
    <row r="275" spans="1:17" ht="13.5" x14ac:dyDescent="0.25">
      <c r="A275" s="1" t="str">
        <f t="shared" si="8"/>
        <v>Tesla Model 3</v>
      </c>
      <c r="B275" s="1" t="s">
        <v>52</v>
      </c>
      <c r="C275" s="6" t="s">
        <v>308</v>
      </c>
      <c r="D275" s="3">
        <v>19000</v>
      </c>
      <c r="E275" s="3">
        <v>17500</v>
      </c>
      <c r="F275" s="3">
        <v>8000</v>
      </c>
      <c r="G275" s="3">
        <v>5400</v>
      </c>
      <c r="H275" s="3">
        <v>12000</v>
      </c>
      <c r="I275" s="3">
        <v>12600</v>
      </c>
      <c r="J275" s="3">
        <v>31208</v>
      </c>
      <c r="K275" s="3">
        <v>27740</v>
      </c>
      <c r="L275" s="3">
        <v>30052</v>
      </c>
      <c r="M275" s="3">
        <v>14506</v>
      </c>
      <c r="N275" s="3">
        <v>11916</v>
      </c>
      <c r="O275" s="3">
        <v>16578</v>
      </c>
      <c r="P275" s="4">
        <f t="shared" si="9"/>
        <v>206500</v>
      </c>
      <c r="Q275" s="1"/>
    </row>
    <row r="276" spans="1:17" ht="13.5" x14ac:dyDescent="0.25">
      <c r="A276" s="1" t="str">
        <f t="shared" si="8"/>
        <v>Tesla Model S</v>
      </c>
      <c r="B276" s="1" t="s">
        <v>52</v>
      </c>
      <c r="C276" s="6" t="s">
        <v>309</v>
      </c>
      <c r="D276" s="3">
        <v>1900</v>
      </c>
      <c r="E276" s="3">
        <v>1700</v>
      </c>
      <c r="F276" s="3">
        <v>1000</v>
      </c>
      <c r="G276" s="3">
        <v>576</v>
      </c>
      <c r="H276" s="3">
        <v>1280</v>
      </c>
      <c r="I276" s="3">
        <v>1344</v>
      </c>
      <c r="J276" s="3">
        <v>2630</v>
      </c>
      <c r="K276" s="3">
        <v>2338</v>
      </c>
      <c r="L276" s="3">
        <v>2532</v>
      </c>
      <c r="M276" s="3">
        <v>1687</v>
      </c>
      <c r="N276" s="3">
        <v>1386</v>
      </c>
      <c r="O276" s="3">
        <v>1928</v>
      </c>
      <c r="P276" s="4">
        <f t="shared" si="9"/>
        <v>20301</v>
      </c>
      <c r="Q276" s="1"/>
    </row>
    <row r="277" spans="1:17" ht="13.5" x14ac:dyDescent="0.25">
      <c r="A277" s="1" t="str">
        <f t="shared" si="8"/>
        <v>Tesla Model X</v>
      </c>
      <c r="B277" s="1" t="s">
        <v>52</v>
      </c>
      <c r="C277" s="6" t="s">
        <v>310</v>
      </c>
      <c r="D277" s="3">
        <v>1450</v>
      </c>
      <c r="E277" s="3">
        <v>1250</v>
      </c>
      <c r="F277" s="3">
        <v>1000</v>
      </c>
      <c r="G277" s="3">
        <v>648</v>
      </c>
      <c r="H277" s="3">
        <v>1440</v>
      </c>
      <c r="I277" s="3">
        <v>1512</v>
      </c>
      <c r="J277" s="3">
        <v>2735</v>
      </c>
      <c r="K277" s="3">
        <v>2431</v>
      </c>
      <c r="L277" s="3">
        <v>2634</v>
      </c>
      <c r="M277" s="3">
        <v>3711</v>
      </c>
      <c r="N277" s="3">
        <v>3048</v>
      </c>
      <c r="O277" s="3">
        <v>4241</v>
      </c>
      <c r="P277" s="4">
        <f t="shared" si="9"/>
        <v>26100</v>
      </c>
      <c r="Q277" s="1"/>
    </row>
    <row r="278" spans="1:17" ht="13.5" x14ac:dyDescent="0.25">
      <c r="A278" s="1" t="str">
        <f t="shared" si="8"/>
        <v>Tesla Model Y</v>
      </c>
      <c r="B278" s="1" t="s">
        <v>52</v>
      </c>
      <c r="C278" s="6" t="s">
        <v>311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>
        <v>0</v>
      </c>
      <c r="J278" s="3">
        <v>12273</v>
      </c>
      <c r="K278" s="3">
        <v>10909</v>
      </c>
      <c r="L278" s="3">
        <v>11818</v>
      </c>
      <c r="M278" s="3">
        <v>1687</v>
      </c>
      <c r="N278" s="3">
        <v>1386</v>
      </c>
      <c r="O278" s="3">
        <v>1928</v>
      </c>
      <c r="P278" s="4">
        <f t="shared" si="9"/>
        <v>40001</v>
      </c>
      <c r="Q278" s="1"/>
    </row>
    <row r="279" spans="1:17" ht="13.5" x14ac:dyDescent="0.25">
      <c r="A279" s="1" t="str">
        <f t="shared" si="8"/>
        <v>Toyota 4Runner</v>
      </c>
      <c r="B279" s="1" t="s">
        <v>53</v>
      </c>
      <c r="C279" s="6" t="s">
        <v>312</v>
      </c>
      <c r="D279" s="3">
        <v>9342</v>
      </c>
      <c r="E279" s="3">
        <v>10912</v>
      </c>
      <c r="F279" s="3">
        <v>7818</v>
      </c>
      <c r="G279" s="3">
        <v>5284</v>
      </c>
      <c r="H279" s="3">
        <v>11742</v>
      </c>
      <c r="I279" s="3">
        <v>12330</v>
      </c>
      <c r="J279" s="3">
        <v>9310</v>
      </c>
      <c r="K279" s="3">
        <v>9860</v>
      </c>
      <c r="L279" s="3">
        <v>10229</v>
      </c>
      <c r="M279" s="3">
        <v>12940</v>
      </c>
      <c r="N279" s="3">
        <v>12416</v>
      </c>
      <c r="O279" s="3">
        <v>16869</v>
      </c>
      <c r="P279" s="4">
        <f t="shared" si="9"/>
        <v>129052</v>
      </c>
      <c r="Q279" s="1"/>
    </row>
    <row r="280" spans="1:17" ht="13.5" x14ac:dyDescent="0.25">
      <c r="A280" s="1" t="str">
        <f t="shared" si="8"/>
        <v>Toyota 86</v>
      </c>
      <c r="B280" s="1" t="s">
        <v>53</v>
      </c>
      <c r="C280" s="6">
        <v>86</v>
      </c>
      <c r="D280" s="3">
        <v>222</v>
      </c>
      <c r="E280" s="3">
        <v>280</v>
      </c>
      <c r="F280" s="3">
        <v>202</v>
      </c>
      <c r="G280" s="3">
        <v>116</v>
      </c>
      <c r="H280" s="3">
        <v>258</v>
      </c>
      <c r="I280" s="3">
        <v>271</v>
      </c>
      <c r="J280" s="3">
        <v>231</v>
      </c>
      <c r="K280" s="3">
        <v>236</v>
      </c>
      <c r="L280" s="3">
        <v>152</v>
      </c>
      <c r="M280" s="3">
        <v>172</v>
      </c>
      <c r="N280" s="3">
        <v>131</v>
      </c>
      <c r="O280" s="3">
        <v>205</v>
      </c>
      <c r="P280" s="4">
        <f t="shared" si="9"/>
        <v>2476</v>
      </c>
      <c r="Q280" s="1"/>
    </row>
    <row r="281" spans="1:17" ht="13.5" x14ac:dyDescent="0.25">
      <c r="A281" s="1" t="str">
        <f t="shared" si="8"/>
        <v>Toyota Avalon</v>
      </c>
      <c r="B281" s="1" t="s">
        <v>53</v>
      </c>
      <c r="C281" s="6" t="s">
        <v>313</v>
      </c>
      <c r="D281" s="3">
        <v>1510</v>
      </c>
      <c r="E281" s="3">
        <v>1550</v>
      </c>
      <c r="F281" s="3">
        <v>1020</v>
      </c>
      <c r="G281" s="3">
        <v>627</v>
      </c>
      <c r="H281" s="3">
        <v>1393</v>
      </c>
      <c r="I281" s="3">
        <v>1463</v>
      </c>
      <c r="J281" s="3">
        <v>1762</v>
      </c>
      <c r="K281" s="3">
        <v>1813</v>
      </c>
      <c r="L281" s="3">
        <v>1833</v>
      </c>
      <c r="M281" s="3">
        <v>1857</v>
      </c>
      <c r="N281" s="3">
        <v>1680</v>
      </c>
      <c r="O281" s="3">
        <v>1913</v>
      </c>
      <c r="P281" s="4">
        <f t="shared" si="9"/>
        <v>18421</v>
      </c>
      <c r="Q281" s="1"/>
    </row>
    <row r="282" spans="1:17" ht="13.5" x14ac:dyDescent="0.25">
      <c r="A282" s="1" t="str">
        <f t="shared" si="8"/>
        <v>Toyota Camry</v>
      </c>
      <c r="B282" s="1" t="s">
        <v>53</v>
      </c>
      <c r="C282" s="6" t="s">
        <v>315</v>
      </c>
      <c r="D282" s="3">
        <v>24824</v>
      </c>
      <c r="E282" s="3">
        <v>29245</v>
      </c>
      <c r="F282" s="3">
        <v>23119</v>
      </c>
      <c r="G282" s="3">
        <v>8768</v>
      </c>
      <c r="H282" s="3">
        <v>19484</v>
      </c>
      <c r="I282" s="3">
        <v>20459</v>
      </c>
      <c r="J282" s="3">
        <v>22792</v>
      </c>
      <c r="K282" s="3">
        <v>27892</v>
      </c>
      <c r="L282" s="3">
        <v>28362</v>
      </c>
      <c r="M282" s="3">
        <v>29666</v>
      </c>
      <c r="N282" s="3">
        <v>29373</v>
      </c>
      <c r="O282" s="3">
        <v>30364</v>
      </c>
      <c r="P282" s="4">
        <f t="shared" si="9"/>
        <v>294348</v>
      </c>
      <c r="Q282" s="1"/>
    </row>
    <row r="283" spans="1:17" ht="13.5" x14ac:dyDescent="0.25">
      <c r="A283" s="1" t="str">
        <f t="shared" si="8"/>
        <v>Toyota C-HR</v>
      </c>
      <c r="B283" s="1" t="s">
        <v>53</v>
      </c>
      <c r="C283" s="6" t="s">
        <v>314</v>
      </c>
      <c r="D283" s="3">
        <v>2961</v>
      </c>
      <c r="E283" s="3">
        <v>4439</v>
      </c>
      <c r="F283" s="3">
        <v>2972</v>
      </c>
      <c r="G283" s="3">
        <v>1989</v>
      </c>
      <c r="H283" s="3">
        <v>4421</v>
      </c>
      <c r="I283" s="3">
        <v>4642</v>
      </c>
      <c r="J283" s="3">
        <v>3677</v>
      </c>
      <c r="K283" s="3">
        <v>3897</v>
      </c>
      <c r="L283" s="3">
        <v>4606</v>
      </c>
      <c r="M283" s="3">
        <v>3358</v>
      </c>
      <c r="N283" s="3">
        <v>2666</v>
      </c>
      <c r="O283" s="3">
        <v>3308</v>
      </c>
      <c r="P283" s="4">
        <f t="shared" si="9"/>
        <v>42936</v>
      </c>
      <c r="Q283" s="1"/>
    </row>
    <row r="284" spans="1:17" ht="13.5" x14ac:dyDescent="0.25">
      <c r="A284" s="1" t="str">
        <f t="shared" si="8"/>
        <v>Toyota Corolla</v>
      </c>
      <c r="B284" s="1" t="s">
        <v>53</v>
      </c>
      <c r="C284" s="6" t="s">
        <v>316</v>
      </c>
      <c r="D284" s="3">
        <v>23477</v>
      </c>
      <c r="E284" s="3">
        <v>26590</v>
      </c>
      <c r="F284" s="3">
        <v>19147</v>
      </c>
      <c r="G284" s="3">
        <v>7270</v>
      </c>
      <c r="H284" s="3">
        <v>16155</v>
      </c>
      <c r="I284" s="3">
        <v>16963</v>
      </c>
      <c r="J284" s="3">
        <v>17564</v>
      </c>
      <c r="K284" s="3">
        <v>19154</v>
      </c>
      <c r="L284" s="3">
        <v>19894</v>
      </c>
      <c r="M284" s="3">
        <v>21569</v>
      </c>
      <c r="N284" s="3">
        <v>23987</v>
      </c>
      <c r="O284" s="3">
        <v>25409</v>
      </c>
      <c r="P284" s="4">
        <f t="shared" si="9"/>
        <v>237179</v>
      </c>
      <c r="Q284" s="1"/>
    </row>
    <row r="285" spans="1:17" ht="13.5" x14ac:dyDescent="0.25">
      <c r="A285" s="1" t="str">
        <f t="shared" si="8"/>
        <v>Toyota Highlander</v>
      </c>
      <c r="B285" s="1" t="s">
        <v>53</v>
      </c>
      <c r="C285" s="6" t="s">
        <v>317</v>
      </c>
      <c r="D285" s="3">
        <v>17009</v>
      </c>
      <c r="E285" s="3">
        <v>20174</v>
      </c>
      <c r="F285" s="3">
        <v>10707</v>
      </c>
      <c r="G285" s="3">
        <v>5613</v>
      </c>
      <c r="H285" s="3">
        <v>12472</v>
      </c>
      <c r="I285" s="3">
        <v>13096</v>
      </c>
      <c r="J285" s="3">
        <v>18128</v>
      </c>
      <c r="K285" s="3">
        <v>21795</v>
      </c>
      <c r="L285" s="3">
        <v>22307</v>
      </c>
      <c r="M285" s="3">
        <v>22262</v>
      </c>
      <c r="N285" s="3">
        <v>21935</v>
      </c>
      <c r="O285" s="3">
        <v>26778</v>
      </c>
      <c r="P285" s="4">
        <f t="shared" si="9"/>
        <v>212276</v>
      </c>
      <c r="Q285" s="1"/>
    </row>
    <row r="286" spans="1:17" ht="13.5" x14ac:dyDescent="0.25">
      <c r="A286" s="1" t="str">
        <f t="shared" si="8"/>
        <v>Toyota Land Cruiser</v>
      </c>
      <c r="B286" s="1" t="s">
        <v>53</v>
      </c>
      <c r="C286" s="6" t="s">
        <v>318</v>
      </c>
      <c r="D286" s="3">
        <v>215</v>
      </c>
      <c r="E286" s="3">
        <v>226</v>
      </c>
      <c r="F286" s="3">
        <v>173</v>
      </c>
      <c r="G286" s="3">
        <v>114</v>
      </c>
      <c r="H286" s="3">
        <v>254</v>
      </c>
      <c r="I286" s="3">
        <v>267</v>
      </c>
      <c r="J286" s="3">
        <v>209</v>
      </c>
      <c r="K286" s="3">
        <v>161</v>
      </c>
      <c r="L286" s="3">
        <v>141</v>
      </c>
      <c r="M286" s="3">
        <v>412</v>
      </c>
      <c r="N286" s="3">
        <v>368</v>
      </c>
      <c r="O286" s="3">
        <v>606</v>
      </c>
      <c r="P286" s="4">
        <f t="shared" si="9"/>
        <v>3146</v>
      </c>
      <c r="Q286" s="1"/>
    </row>
    <row r="287" spans="1:17" ht="13.5" x14ac:dyDescent="0.25">
      <c r="A287" s="1" t="str">
        <f t="shared" si="8"/>
        <v>Toyota Mirai</v>
      </c>
      <c r="B287" s="1" t="s">
        <v>53</v>
      </c>
      <c r="C287" s="6" t="s">
        <v>319</v>
      </c>
      <c r="D287" s="3">
        <v>57</v>
      </c>
      <c r="E287" s="3">
        <v>59</v>
      </c>
      <c r="F287" s="3">
        <v>31</v>
      </c>
      <c r="G287" s="3">
        <v>11</v>
      </c>
      <c r="H287" s="3">
        <v>25</v>
      </c>
      <c r="I287" s="3">
        <v>26</v>
      </c>
      <c r="J287" s="3">
        <v>27</v>
      </c>
      <c r="K287" s="3">
        <v>64</v>
      </c>
      <c r="L287" s="3">
        <v>41</v>
      </c>
      <c r="M287" s="3">
        <v>27</v>
      </c>
      <c r="N287" s="3">
        <v>111</v>
      </c>
      <c r="O287" s="3">
        <v>20</v>
      </c>
      <c r="P287" s="4">
        <f t="shared" si="9"/>
        <v>499</v>
      </c>
      <c r="Q287" s="1"/>
    </row>
    <row r="288" spans="1:17" ht="13.5" x14ac:dyDescent="0.25">
      <c r="A288" s="1" t="str">
        <f t="shared" si="8"/>
        <v>Toyota Prius</v>
      </c>
      <c r="B288" s="1" t="s">
        <v>53</v>
      </c>
      <c r="C288" s="6" t="s">
        <v>328</v>
      </c>
      <c r="D288" s="3">
        <v>4089</v>
      </c>
      <c r="E288" s="3">
        <v>4532</v>
      </c>
      <c r="F288" s="3">
        <v>2862</v>
      </c>
      <c r="G288" s="3">
        <v>1620</v>
      </c>
      <c r="H288" s="3">
        <v>3600</v>
      </c>
      <c r="I288" s="3">
        <v>3780</v>
      </c>
      <c r="J288" s="3">
        <v>4391</v>
      </c>
      <c r="K288" s="3">
        <v>3905</v>
      </c>
      <c r="L288" s="3">
        <v>3787</v>
      </c>
      <c r="M288" s="3">
        <v>3633</v>
      </c>
      <c r="N288" s="3">
        <v>3248</v>
      </c>
      <c r="O288" s="3">
        <v>4078</v>
      </c>
      <c r="P288" s="4">
        <f t="shared" si="9"/>
        <v>43525</v>
      </c>
      <c r="Q288" s="1"/>
    </row>
    <row r="289" spans="1:17" ht="13.5" x14ac:dyDescent="0.25">
      <c r="A289" s="1" t="str">
        <f t="shared" si="8"/>
        <v>Toyota RAV4</v>
      </c>
      <c r="B289" s="1" t="s">
        <v>53</v>
      </c>
      <c r="C289" s="6" t="s">
        <v>320</v>
      </c>
      <c r="D289" s="3">
        <v>33130</v>
      </c>
      <c r="E289" s="3">
        <v>39626</v>
      </c>
      <c r="F289" s="3">
        <v>24875</v>
      </c>
      <c r="G289" s="3">
        <v>15431</v>
      </c>
      <c r="H289" s="3">
        <v>34292</v>
      </c>
      <c r="I289" s="3">
        <v>36006</v>
      </c>
      <c r="J289" s="3">
        <v>36323</v>
      </c>
      <c r="K289" s="3">
        <v>39239</v>
      </c>
      <c r="L289" s="3">
        <v>43652</v>
      </c>
      <c r="M289" s="3">
        <v>40717</v>
      </c>
      <c r="N289" s="3">
        <v>40250</v>
      </c>
      <c r="O289" s="3">
        <v>46846</v>
      </c>
      <c r="P289" s="4">
        <f t="shared" si="9"/>
        <v>430387</v>
      </c>
      <c r="Q289" s="1"/>
    </row>
    <row r="290" spans="1:17" ht="13.5" x14ac:dyDescent="0.25">
      <c r="A290" s="1" t="str">
        <f t="shared" si="8"/>
        <v>Toyota Sequoia</v>
      </c>
      <c r="B290" s="1" t="s">
        <v>53</v>
      </c>
      <c r="C290" s="6" t="s">
        <v>321</v>
      </c>
      <c r="D290" s="3">
        <v>505</v>
      </c>
      <c r="E290" s="3">
        <v>571</v>
      </c>
      <c r="F290" s="3">
        <v>332</v>
      </c>
      <c r="G290" s="3">
        <v>202</v>
      </c>
      <c r="H290" s="3">
        <v>448</v>
      </c>
      <c r="I290" s="3">
        <v>470</v>
      </c>
      <c r="J290" s="3">
        <v>666</v>
      </c>
      <c r="K290" s="3">
        <v>769</v>
      </c>
      <c r="L290" s="3">
        <v>770</v>
      </c>
      <c r="M290" s="3">
        <v>831</v>
      </c>
      <c r="N290" s="3">
        <v>752</v>
      </c>
      <c r="O290" s="3">
        <v>1048</v>
      </c>
      <c r="P290" s="4">
        <f t="shared" si="9"/>
        <v>7364</v>
      </c>
      <c r="Q290" s="1"/>
    </row>
    <row r="291" spans="1:17" ht="13.5" x14ac:dyDescent="0.25">
      <c r="A291" s="1" t="str">
        <f t="shared" si="8"/>
        <v>Toyota Sienna</v>
      </c>
      <c r="B291" s="1" t="s">
        <v>53</v>
      </c>
      <c r="C291" s="6" t="s">
        <v>322</v>
      </c>
      <c r="D291" s="3">
        <v>3934</v>
      </c>
      <c r="E291" s="3">
        <v>4778</v>
      </c>
      <c r="F291" s="3">
        <v>3164</v>
      </c>
      <c r="G291" s="3">
        <v>960</v>
      </c>
      <c r="H291" s="3">
        <v>2133</v>
      </c>
      <c r="I291" s="3">
        <v>2239</v>
      </c>
      <c r="J291" s="3">
        <v>3462</v>
      </c>
      <c r="K291" s="3">
        <v>3987</v>
      </c>
      <c r="L291" s="3">
        <v>4124</v>
      </c>
      <c r="M291" s="3">
        <v>2812</v>
      </c>
      <c r="N291" s="3">
        <v>3779</v>
      </c>
      <c r="O291" s="3">
        <v>7513</v>
      </c>
      <c r="P291" s="4">
        <f t="shared" si="9"/>
        <v>42885</v>
      </c>
      <c r="Q291" s="1"/>
    </row>
    <row r="292" spans="1:17" ht="13.5" x14ac:dyDescent="0.25">
      <c r="A292" s="1" t="str">
        <f t="shared" si="8"/>
        <v>Toyota Supra</v>
      </c>
      <c r="B292" s="1" t="s">
        <v>53</v>
      </c>
      <c r="C292" s="6" t="s">
        <v>323</v>
      </c>
      <c r="D292" s="3">
        <v>342</v>
      </c>
      <c r="E292" s="3">
        <v>398</v>
      </c>
      <c r="F292" s="3">
        <v>273</v>
      </c>
      <c r="G292" s="3">
        <v>231</v>
      </c>
      <c r="H292" s="3">
        <v>512</v>
      </c>
      <c r="I292" s="3">
        <v>538</v>
      </c>
      <c r="J292" s="3">
        <v>515</v>
      </c>
      <c r="K292" s="3">
        <v>500</v>
      </c>
      <c r="L292" s="3">
        <v>489</v>
      </c>
      <c r="M292" s="3">
        <v>677</v>
      </c>
      <c r="N292" s="3">
        <v>708</v>
      </c>
      <c r="O292" s="3">
        <v>704</v>
      </c>
      <c r="P292" s="4">
        <f t="shared" si="9"/>
        <v>5887</v>
      </c>
      <c r="Q292" s="1"/>
    </row>
    <row r="293" spans="1:17" ht="13.5" x14ac:dyDescent="0.25">
      <c r="A293" s="1" t="str">
        <f t="shared" si="8"/>
        <v>Toyota Tacoma</v>
      </c>
      <c r="B293" s="1" t="s">
        <v>53</v>
      </c>
      <c r="C293" s="6" t="s">
        <v>324</v>
      </c>
      <c r="D293" s="3">
        <v>17112</v>
      </c>
      <c r="E293" s="3">
        <v>20609</v>
      </c>
      <c r="F293" s="3">
        <v>15915</v>
      </c>
      <c r="G293" s="3">
        <v>9191</v>
      </c>
      <c r="H293" s="3">
        <v>20425</v>
      </c>
      <c r="I293" s="3">
        <v>21446</v>
      </c>
      <c r="J293" s="3">
        <v>17412</v>
      </c>
      <c r="K293" s="3">
        <v>20579</v>
      </c>
      <c r="L293" s="3">
        <v>20929</v>
      </c>
      <c r="M293" s="3">
        <v>23774</v>
      </c>
      <c r="N293" s="3">
        <v>22456</v>
      </c>
      <c r="O293" s="3">
        <v>28957</v>
      </c>
      <c r="P293" s="4">
        <f t="shared" si="9"/>
        <v>238805</v>
      </c>
      <c r="Q293" s="1"/>
    </row>
    <row r="294" spans="1:17" ht="13.5" x14ac:dyDescent="0.25">
      <c r="A294" s="1" t="str">
        <f t="shared" si="8"/>
        <v>Toyota Tundra</v>
      </c>
      <c r="B294" s="1" t="s">
        <v>53</v>
      </c>
      <c r="C294" s="6" t="s">
        <v>325</v>
      </c>
      <c r="D294" s="3">
        <v>6655</v>
      </c>
      <c r="E294" s="3">
        <v>8059</v>
      </c>
      <c r="F294" s="3">
        <v>6944</v>
      </c>
      <c r="G294" s="3">
        <v>4900</v>
      </c>
      <c r="H294" s="3">
        <v>10889</v>
      </c>
      <c r="I294" s="3">
        <v>11433</v>
      </c>
      <c r="J294" s="3">
        <v>9066</v>
      </c>
      <c r="K294" s="3">
        <v>10130</v>
      </c>
      <c r="L294" s="3">
        <v>8738</v>
      </c>
      <c r="M294" s="3">
        <v>9999</v>
      </c>
      <c r="N294" s="3">
        <v>10266</v>
      </c>
      <c r="O294" s="3">
        <v>12124</v>
      </c>
      <c r="P294" s="4">
        <f t="shared" si="9"/>
        <v>109203</v>
      </c>
      <c r="Q294" s="1"/>
    </row>
    <row r="295" spans="1:17" ht="13.5" x14ac:dyDescent="0.25">
      <c r="A295" s="1" t="str">
        <f t="shared" si="8"/>
        <v>Toyota Venza</v>
      </c>
      <c r="B295" s="1" t="s">
        <v>53</v>
      </c>
      <c r="C295" s="6" t="s">
        <v>326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>
        <v>0</v>
      </c>
      <c r="J295" s="3">
        <v>0</v>
      </c>
      <c r="K295" s="3">
        <v>43</v>
      </c>
      <c r="L295" s="3">
        <v>1625</v>
      </c>
      <c r="M295" s="3">
        <v>3510</v>
      </c>
      <c r="N295" s="3">
        <v>3400</v>
      </c>
      <c r="O295" s="3">
        <v>4495</v>
      </c>
      <c r="P295" s="4">
        <f t="shared" si="9"/>
        <v>13073</v>
      </c>
      <c r="Q295" s="1"/>
    </row>
    <row r="296" spans="1:17" ht="13.5" x14ac:dyDescent="0.25">
      <c r="A296" s="1" t="str">
        <f t="shared" si="8"/>
        <v>Toyota Yaris</v>
      </c>
      <c r="B296" s="1" t="s">
        <v>53</v>
      </c>
      <c r="C296" s="6" t="s">
        <v>327</v>
      </c>
      <c r="D296" s="3">
        <v>860</v>
      </c>
      <c r="E296" s="3">
        <v>965</v>
      </c>
      <c r="F296" s="3">
        <v>591</v>
      </c>
      <c r="G296" s="3">
        <v>236</v>
      </c>
      <c r="H296" s="3">
        <v>525</v>
      </c>
      <c r="I296" s="3">
        <v>551</v>
      </c>
      <c r="J296" s="3">
        <v>509</v>
      </c>
      <c r="K296" s="3">
        <v>726</v>
      </c>
      <c r="L296" s="3">
        <v>691</v>
      </c>
      <c r="M296" s="3">
        <v>442</v>
      </c>
      <c r="N296" s="3">
        <v>199</v>
      </c>
      <c r="O296" s="3">
        <v>141</v>
      </c>
      <c r="P296" s="4">
        <f t="shared" si="9"/>
        <v>6436</v>
      </c>
      <c r="Q296" s="1"/>
    </row>
    <row r="297" spans="1:17" ht="13.5" x14ac:dyDescent="0.25">
      <c r="A297" s="1" t="str">
        <f t="shared" si="8"/>
        <v>Volkswagen Arteon</v>
      </c>
      <c r="B297" s="1" t="s">
        <v>54</v>
      </c>
      <c r="C297" s="6" t="s">
        <v>329</v>
      </c>
      <c r="D297" s="3">
        <v>256</v>
      </c>
      <c r="E297" s="3">
        <v>331</v>
      </c>
      <c r="F297" s="3">
        <v>597</v>
      </c>
      <c r="G297" s="3">
        <v>143</v>
      </c>
      <c r="H297" s="3">
        <v>319</v>
      </c>
      <c r="I297" s="3">
        <v>335</v>
      </c>
      <c r="J297" s="3">
        <v>370</v>
      </c>
      <c r="K297" s="3">
        <v>329</v>
      </c>
      <c r="L297" s="3">
        <v>357</v>
      </c>
      <c r="M297" s="3">
        <v>324</v>
      </c>
      <c r="N297" s="3">
        <v>266</v>
      </c>
      <c r="O297" s="3">
        <v>371</v>
      </c>
      <c r="P297" s="4">
        <f t="shared" si="9"/>
        <v>3998</v>
      </c>
      <c r="Q297" s="1"/>
    </row>
    <row r="298" spans="1:17" ht="13.5" x14ac:dyDescent="0.25">
      <c r="A298" s="1" t="str">
        <f t="shared" si="8"/>
        <v>Volkswagen Atlas</v>
      </c>
      <c r="B298" s="1" t="s">
        <v>54</v>
      </c>
      <c r="C298" s="6" t="s">
        <v>330</v>
      </c>
      <c r="D298" s="3">
        <v>5004</v>
      </c>
      <c r="E298" s="3">
        <v>6479</v>
      </c>
      <c r="F298" s="3">
        <v>10842</v>
      </c>
      <c r="G298" s="3">
        <v>2938</v>
      </c>
      <c r="H298" s="3">
        <v>6528</v>
      </c>
      <c r="I298" s="3">
        <v>6855</v>
      </c>
      <c r="J298" s="3">
        <v>8482</v>
      </c>
      <c r="K298" s="3">
        <v>7539</v>
      </c>
      <c r="L298" s="3">
        <v>8168</v>
      </c>
      <c r="M298" s="3">
        <v>6870</v>
      </c>
      <c r="N298" s="3">
        <v>5644</v>
      </c>
      <c r="O298" s="3">
        <v>7852</v>
      </c>
      <c r="P298" s="4">
        <f t="shared" si="9"/>
        <v>83201</v>
      </c>
      <c r="Q298" s="1"/>
    </row>
    <row r="299" spans="1:17" ht="13.5" x14ac:dyDescent="0.25">
      <c r="A299" s="1" t="str">
        <f t="shared" si="8"/>
        <v>Volkswagen Atlas Sport</v>
      </c>
      <c r="B299" s="1" t="s">
        <v>54</v>
      </c>
      <c r="C299" s="6" t="s">
        <v>331</v>
      </c>
      <c r="D299" s="3">
        <v>0</v>
      </c>
      <c r="E299" s="3">
        <v>0</v>
      </c>
      <c r="F299" s="3">
        <v>4069</v>
      </c>
      <c r="G299" s="3">
        <v>0</v>
      </c>
      <c r="H299" s="3">
        <v>0</v>
      </c>
      <c r="I299" s="3">
        <v>0</v>
      </c>
      <c r="J299" s="3">
        <v>0</v>
      </c>
      <c r="K299" s="3">
        <v>0</v>
      </c>
      <c r="L299" s="3">
        <v>0</v>
      </c>
      <c r="M299" s="3">
        <v>3737</v>
      </c>
      <c r="N299" s="3">
        <v>3070</v>
      </c>
      <c r="O299" s="3">
        <v>4271</v>
      </c>
      <c r="P299" s="4">
        <f t="shared" si="9"/>
        <v>15147</v>
      </c>
      <c r="Q299" s="1"/>
    </row>
    <row r="300" spans="1:17" ht="13.5" x14ac:dyDescent="0.25">
      <c r="A300" s="1" t="str">
        <f t="shared" si="8"/>
        <v>Volkswagen Beetle</v>
      </c>
      <c r="B300" s="1" t="s">
        <v>54</v>
      </c>
      <c r="C300" s="6" t="s">
        <v>332</v>
      </c>
      <c r="D300" s="3">
        <v>523</v>
      </c>
      <c r="E300" s="3">
        <v>677</v>
      </c>
      <c r="F300" s="3">
        <v>410</v>
      </c>
      <c r="G300" s="3">
        <v>506</v>
      </c>
      <c r="H300" s="3">
        <v>1124</v>
      </c>
      <c r="I300" s="3">
        <v>1181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</v>
      </c>
      <c r="P300" s="4">
        <f t="shared" si="9"/>
        <v>4421</v>
      </c>
      <c r="Q300" s="1"/>
    </row>
    <row r="301" spans="1:17" ht="13.5" x14ac:dyDescent="0.25">
      <c r="A301" s="1" t="str">
        <f t="shared" si="8"/>
        <v>Volkswagen CC</v>
      </c>
      <c r="B301" s="1" t="s">
        <v>54</v>
      </c>
      <c r="C301" s="6" t="s">
        <v>333</v>
      </c>
      <c r="D301" s="3">
        <v>6</v>
      </c>
      <c r="E301" s="3">
        <v>7</v>
      </c>
      <c r="F301" s="3">
        <v>4</v>
      </c>
      <c r="G301" s="3">
        <v>0</v>
      </c>
      <c r="H301" s="3">
        <v>0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4">
        <f t="shared" si="9"/>
        <v>17</v>
      </c>
      <c r="Q301" s="1"/>
    </row>
    <row r="302" spans="1:17" ht="13.5" x14ac:dyDescent="0.25">
      <c r="A302" s="1" t="str">
        <f t="shared" si="8"/>
        <v>Volkswagen Golf</v>
      </c>
      <c r="B302" s="1" t="s">
        <v>54</v>
      </c>
      <c r="C302" s="6" t="s">
        <v>334</v>
      </c>
      <c r="D302" s="3">
        <v>2501</v>
      </c>
      <c r="E302" s="3">
        <v>3238</v>
      </c>
      <c r="F302" s="3">
        <v>2529</v>
      </c>
      <c r="G302" s="3">
        <v>827</v>
      </c>
      <c r="H302" s="3">
        <v>1838</v>
      </c>
      <c r="I302" s="3">
        <v>1930</v>
      </c>
      <c r="J302" s="3">
        <v>1751</v>
      </c>
      <c r="K302" s="3">
        <v>1557</v>
      </c>
      <c r="L302" s="3">
        <v>1687</v>
      </c>
      <c r="M302" s="3">
        <v>1564</v>
      </c>
      <c r="N302" s="3">
        <v>1285</v>
      </c>
      <c r="O302" s="3">
        <v>1788</v>
      </c>
      <c r="P302" s="4">
        <f t="shared" si="9"/>
        <v>22495</v>
      </c>
      <c r="Q302" s="1"/>
    </row>
    <row r="303" spans="1:17" ht="13.5" x14ac:dyDescent="0.25">
      <c r="A303" s="1" t="str">
        <f t="shared" si="8"/>
        <v>Volkswagen Jetta</v>
      </c>
      <c r="B303" s="1" t="s">
        <v>54</v>
      </c>
      <c r="C303" s="6" t="s">
        <v>335</v>
      </c>
      <c r="D303" s="3">
        <v>6945</v>
      </c>
      <c r="E303" s="3">
        <v>8992</v>
      </c>
      <c r="F303" s="3">
        <v>13623</v>
      </c>
      <c r="G303" s="3">
        <v>2875</v>
      </c>
      <c r="H303" s="3">
        <v>6388</v>
      </c>
      <c r="I303" s="3">
        <v>6708</v>
      </c>
      <c r="J303" s="3">
        <v>7054</v>
      </c>
      <c r="K303" s="3">
        <v>6270</v>
      </c>
      <c r="L303" s="3">
        <v>6792</v>
      </c>
      <c r="M303" s="3">
        <v>8495</v>
      </c>
      <c r="N303" s="3">
        <v>6978</v>
      </c>
      <c r="O303" s="3">
        <v>9709</v>
      </c>
      <c r="P303" s="4">
        <f t="shared" si="9"/>
        <v>90829</v>
      </c>
      <c r="Q303" s="1"/>
    </row>
    <row r="304" spans="1:17" ht="13.5" x14ac:dyDescent="0.25">
      <c r="A304" s="1" t="str">
        <f t="shared" si="8"/>
        <v>Volkswagen Passat</v>
      </c>
      <c r="B304" s="1" t="s">
        <v>54</v>
      </c>
      <c r="C304" s="6" t="s">
        <v>336</v>
      </c>
      <c r="D304" s="3">
        <v>1943</v>
      </c>
      <c r="E304" s="3">
        <v>2515</v>
      </c>
      <c r="F304" s="3">
        <v>3156</v>
      </c>
      <c r="G304" s="3">
        <v>742</v>
      </c>
      <c r="H304" s="3">
        <v>1648</v>
      </c>
      <c r="I304" s="3">
        <v>1730</v>
      </c>
      <c r="J304" s="3">
        <v>2135</v>
      </c>
      <c r="K304" s="3">
        <v>1898</v>
      </c>
      <c r="L304" s="3">
        <v>2056</v>
      </c>
      <c r="M304" s="3">
        <v>2285</v>
      </c>
      <c r="N304" s="3">
        <v>1877</v>
      </c>
      <c r="O304" s="3">
        <v>2612</v>
      </c>
      <c r="P304" s="4">
        <f t="shared" si="9"/>
        <v>24597</v>
      </c>
      <c r="Q304" s="1"/>
    </row>
    <row r="305" spans="1:17" ht="13.5" x14ac:dyDescent="0.25">
      <c r="A305" s="1" t="str">
        <f t="shared" si="8"/>
        <v>Volkswagen Tiguan</v>
      </c>
      <c r="B305" s="1" t="s">
        <v>54</v>
      </c>
      <c r="C305" s="6" t="s">
        <v>337</v>
      </c>
      <c r="D305" s="3">
        <v>7203</v>
      </c>
      <c r="E305" s="3">
        <v>9325</v>
      </c>
      <c r="F305" s="3">
        <v>15463</v>
      </c>
      <c r="G305" s="3">
        <v>4557</v>
      </c>
      <c r="H305" s="3">
        <v>10127</v>
      </c>
      <c r="I305" s="3">
        <v>10634</v>
      </c>
      <c r="J305" s="3">
        <v>9842</v>
      </c>
      <c r="K305" s="3">
        <v>8749</v>
      </c>
      <c r="L305" s="3">
        <v>9478</v>
      </c>
      <c r="M305" s="3">
        <v>8476</v>
      </c>
      <c r="N305" s="3">
        <v>6962</v>
      </c>
      <c r="O305" s="3">
        <v>9686</v>
      </c>
      <c r="P305" s="4">
        <f t="shared" si="9"/>
        <v>110502</v>
      </c>
      <c r="Q305" s="1"/>
    </row>
    <row r="306" spans="1:17" ht="13.5" x14ac:dyDescent="0.25">
      <c r="A306" s="1" t="str">
        <f t="shared" si="8"/>
        <v>Volkswagen Touareg</v>
      </c>
      <c r="B306" s="1" t="s">
        <v>54</v>
      </c>
      <c r="C306" s="6" t="s">
        <v>338</v>
      </c>
      <c r="D306" s="3">
        <v>1</v>
      </c>
      <c r="E306" s="3">
        <v>1</v>
      </c>
      <c r="F306" s="3">
        <v>1</v>
      </c>
      <c r="G306" s="3">
        <v>0</v>
      </c>
      <c r="H306" s="3">
        <v>0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4">
        <f t="shared" si="9"/>
        <v>3</v>
      </c>
      <c r="Q306" s="1"/>
    </row>
    <row r="307" spans="1:17" ht="13.5" x14ac:dyDescent="0.25">
      <c r="A307" s="1" t="str">
        <f t="shared" si="8"/>
        <v>Volvo S60/V60</v>
      </c>
      <c r="B307" s="1" t="s">
        <v>55</v>
      </c>
      <c r="C307" s="6" t="s">
        <v>339</v>
      </c>
      <c r="D307" s="3">
        <v>1021</v>
      </c>
      <c r="E307" s="3">
        <v>1385</v>
      </c>
      <c r="F307" s="3">
        <v>1099</v>
      </c>
      <c r="G307" s="3">
        <v>506</v>
      </c>
      <c r="H307" s="3">
        <v>1241</v>
      </c>
      <c r="I307" s="3">
        <v>1486</v>
      </c>
      <c r="J307" s="3">
        <v>1546</v>
      </c>
      <c r="K307" s="3">
        <v>1790</v>
      </c>
      <c r="L307" s="3">
        <v>2341</v>
      </c>
      <c r="M307" s="3">
        <v>1213</v>
      </c>
      <c r="N307" s="3">
        <v>1736</v>
      </c>
      <c r="O307" s="3">
        <v>1464</v>
      </c>
      <c r="P307" s="4">
        <f t="shared" si="9"/>
        <v>16828</v>
      </c>
      <c r="Q307" s="1"/>
    </row>
    <row r="308" spans="1:17" ht="13.5" x14ac:dyDescent="0.25">
      <c r="A308" s="1" t="str">
        <f t="shared" si="8"/>
        <v>Volvo S90/V90</v>
      </c>
      <c r="B308" s="1" t="s">
        <v>55</v>
      </c>
      <c r="C308" s="6" t="s">
        <v>340</v>
      </c>
      <c r="D308" s="3">
        <v>102</v>
      </c>
      <c r="E308" s="3">
        <v>136</v>
      </c>
      <c r="F308" s="3">
        <v>116</v>
      </c>
      <c r="G308" s="3">
        <v>91</v>
      </c>
      <c r="H308" s="3">
        <v>178</v>
      </c>
      <c r="I308" s="3">
        <v>263</v>
      </c>
      <c r="J308" s="3">
        <v>332</v>
      </c>
      <c r="K308" s="3">
        <v>676</v>
      </c>
      <c r="L308" s="3">
        <v>718</v>
      </c>
      <c r="M308" s="3">
        <v>146</v>
      </c>
      <c r="N308" s="3">
        <v>239</v>
      </c>
      <c r="O308" s="3">
        <v>198</v>
      </c>
      <c r="P308" s="4">
        <f t="shared" si="9"/>
        <v>3195</v>
      </c>
      <c r="Q308" s="1"/>
    </row>
    <row r="309" spans="1:17" ht="13.5" x14ac:dyDescent="0.25">
      <c r="A309" s="1" t="str">
        <f t="shared" si="8"/>
        <v>Volvo XC40</v>
      </c>
      <c r="B309" s="1" t="s">
        <v>55</v>
      </c>
      <c r="C309" s="6" t="s">
        <v>341</v>
      </c>
      <c r="D309" s="3">
        <v>1303</v>
      </c>
      <c r="E309" s="3">
        <v>1615</v>
      </c>
      <c r="F309" s="3">
        <v>1052</v>
      </c>
      <c r="G309" s="3">
        <v>930</v>
      </c>
      <c r="H309" s="3">
        <v>2305</v>
      </c>
      <c r="I309" s="3">
        <v>2315</v>
      </c>
      <c r="J309" s="3">
        <v>2216</v>
      </c>
      <c r="K309" s="3">
        <v>1933</v>
      </c>
      <c r="L309" s="3">
        <v>1911</v>
      </c>
      <c r="M309" s="3">
        <v>2504</v>
      </c>
      <c r="N309" s="3">
        <v>2344</v>
      </c>
      <c r="O309" s="3">
        <v>3350</v>
      </c>
      <c r="P309" s="4">
        <f t="shared" si="9"/>
        <v>23778</v>
      </c>
      <c r="Q309" s="1"/>
    </row>
    <row r="310" spans="1:17" ht="13.5" x14ac:dyDescent="0.25">
      <c r="A310" s="1" t="str">
        <f t="shared" si="8"/>
        <v>Volvo XC60</v>
      </c>
      <c r="B310" s="1" t="s">
        <v>55</v>
      </c>
      <c r="C310" s="6" t="s">
        <v>342</v>
      </c>
      <c r="D310" s="3">
        <v>1737</v>
      </c>
      <c r="E310" s="3">
        <v>2276</v>
      </c>
      <c r="F310" s="3">
        <v>1556</v>
      </c>
      <c r="G310" s="3">
        <v>1053</v>
      </c>
      <c r="H310" s="3">
        <v>2723</v>
      </c>
      <c r="I310" s="3">
        <v>2867</v>
      </c>
      <c r="J310" s="3">
        <v>2637</v>
      </c>
      <c r="K310" s="3">
        <v>2981</v>
      </c>
      <c r="L310" s="3">
        <v>2632</v>
      </c>
      <c r="M310" s="3">
        <v>3571</v>
      </c>
      <c r="N310" s="3">
        <v>3756</v>
      </c>
      <c r="O310" s="3">
        <v>4289</v>
      </c>
      <c r="P310" s="4">
        <f t="shared" si="9"/>
        <v>32078</v>
      </c>
      <c r="Q310" s="1"/>
    </row>
    <row r="311" spans="1:17" ht="13.5" x14ac:dyDescent="0.25">
      <c r="A311" s="1" t="str">
        <f t="shared" si="8"/>
        <v>Volvo XC90</v>
      </c>
      <c r="B311" s="1" t="s">
        <v>55</v>
      </c>
      <c r="C311" s="6" t="s">
        <v>343</v>
      </c>
      <c r="D311" s="3">
        <v>1994</v>
      </c>
      <c r="E311" s="3">
        <v>2429</v>
      </c>
      <c r="F311" s="3">
        <v>1664</v>
      </c>
      <c r="G311" s="3">
        <v>1286</v>
      </c>
      <c r="H311" s="3">
        <v>3072</v>
      </c>
      <c r="I311" s="3">
        <v>3454</v>
      </c>
      <c r="J311" s="3">
        <v>2966</v>
      </c>
      <c r="K311" s="3">
        <v>2998</v>
      </c>
      <c r="L311" s="3">
        <v>2672</v>
      </c>
      <c r="M311" s="3">
        <v>3257</v>
      </c>
      <c r="N311" s="3">
        <v>3516</v>
      </c>
      <c r="O311" s="3">
        <v>4943</v>
      </c>
      <c r="P311" s="4">
        <f t="shared" si="9"/>
        <v>34251</v>
      </c>
      <c r="Q311" s="1"/>
    </row>
    <row r="312" spans="1:17" ht="13.5" x14ac:dyDescent="0.25">
      <c r="Q312" s="1"/>
    </row>
    <row r="313" spans="1:17" ht="13.5" x14ac:dyDescent="0.25">
      <c r="Q313" s="1"/>
    </row>
    <row r="314" spans="1:17" ht="13.5" x14ac:dyDescent="0.25">
      <c r="Q314" s="1"/>
    </row>
  </sheetData>
  <autoFilter ref="A10:P10" xr:uid="{8048E1C8-13E7-4075-AAF6-77BC954E0F86}">
    <sortState xmlns:xlrd2="http://schemas.microsoft.com/office/spreadsheetml/2017/richdata2" ref="A11:P311">
      <sortCondition ref="A10"/>
    </sortState>
  </autoFilter>
  <dataValidations count="1">
    <dataValidation type="list" allowBlank="1" showInputMessage="1" showErrorMessage="1" sqref="Q3" xr:uid="{F2CD2962-5D5B-4B12-A6BC-B44282F29FA7}">
      <formula1>$A$11:$A$311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90CC8-5D36-4291-A2AC-D1C25771BB1A}">
  <sheetPr codeName="Sheet3"/>
  <dimension ref="A1:B22"/>
  <sheetViews>
    <sheetView workbookViewId="0">
      <selection activeCell="G31" sqref="G31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10.7109375" bestFit="1" customWidth="1"/>
  </cols>
  <sheetData>
    <row r="1" spans="1:2" x14ac:dyDescent="0.25">
      <c r="A1" s="10" t="s">
        <v>0</v>
      </c>
      <c r="B1" t="s">
        <v>53</v>
      </c>
    </row>
    <row r="3" spans="1:2" x14ac:dyDescent="0.25">
      <c r="A3" s="10" t="s">
        <v>346</v>
      </c>
      <c r="B3" t="s">
        <v>348</v>
      </c>
    </row>
    <row r="4" spans="1:2" x14ac:dyDescent="0.25">
      <c r="A4" s="11">
        <v>86</v>
      </c>
      <c r="B4" s="12">
        <v>2476</v>
      </c>
    </row>
    <row r="5" spans="1:2" x14ac:dyDescent="0.25">
      <c r="A5" s="11" t="s">
        <v>312</v>
      </c>
      <c r="B5" s="12">
        <v>129052</v>
      </c>
    </row>
    <row r="6" spans="1:2" x14ac:dyDescent="0.25">
      <c r="A6" s="11" t="s">
        <v>313</v>
      </c>
      <c r="B6" s="12">
        <v>18421</v>
      </c>
    </row>
    <row r="7" spans="1:2" x14ac:dyDescent="0.25">
      <c r="A7" s="11" t="s">
        <v>315</v>
      </c>
      <c r="B7" s="12">
        <v>294348</v>
      </c>
    </row>
    <row r="8" spans="1:2" x14ac:dyDescent="0.25">
      <c r="A8" s="11" t="s">
        <v>314</v>
      </c>
      <c r="B8" s="12">
        <v>42936</v>
      </c>
    </row>
    <row r="9" spans="1:2" x14ac:dyDescent="0.25">
      <c r="A9" s="11" t="s">
        <v>316</v>
      </c>
      <c r="B9" s="12">
        <v>237179</v>
      </c>
    </row>
    <row r="10" spans="1:2" x14ac:dyDescent="0.25">
      <c r="A10" s="11" t="s">
        <v>317</v>
      </c>
      <c r="B10" s="12">
        <v>212276</v>
      </c>
    </row>
    <row r="11" spans="1:2" x14ac:dyDescent="0.25">
      <c r="A11" s="11" t="s">
        <v>318</v>
      </c>
      <c r="B11" s="12">
        <v>3146</v>
      </c>
    </row>
    <row r="12" spans="1:2" x14ac:dyDescent="0.25">
      <c r="A12" s="11" t="s">
        <v>319</v>
      </c>
      <c r="B12" s="12">
        <v>499</v>
      </c>
    </row>
    <row r="13" spans="1:2" x14ac:dyDescent="0.25">
      <c r="A13" s="11" t="s">
        <v>328</v>
      </c>
      <c r="B13" s="12">
        <v>43525</v>
      </c>
    </row>
    <row r="14" spans="1:2" x14ac:dyDescent="0.25">
      <c r="A14" s="11" t="s">
        <v>320</v>
      </c>
      <c r="B14" s="12">
        <v>430387</v>
      </c>
    </row>
    <row r="15" spans="1:2" x14ac:dyDescent="0.25">
      <c r="A15" s="11" t="s">
        <v>321</v>
      </c>
      <c r="B15" s="12">
        <v>7364</v>
      </c>
    </row>
    <row r="16" spans="1:2" x14ac:dyDescent="0.25">
      <c r="A16" s="11" t="s">
        <v>322</v>
      </c>
      <c r="B16" s="12">
        <v>42885</v>
      </c>
    </row>
    <row r="17" spans="1:2" x14ac:dyDescent="0.25">
      <c r="A17" s="11" t="s">
        <v>323</v>
      </c>
      <c r="B17" s="12">
        <v>5887</v>
      </c>
    </row>
    <row r="18" spans="1:2" x14ac:dyDescent="0.25">
      <c r="A18" s="11" t="s">
        <v>324</v>
      </c>
      <c r="B18" s="12">
        <v>238805</v>
      </c>
    </row>
    <row r="19" spans="1:2" x14ac:dyDescent="0.25">
      <c r="A19" s="11" t="s">
        <v>325</v>
      </c>
      <c r="B19" s="12">
        <v>109203</v>
      </c>
    </row>
    <row r="20" spans="1:2" x14ac:dyDescent="0.25">
      <c r="A20" s="11" t="s">
        <v>326</v>
      </c>
      <c r="B20" s="12">
        <v>13073</v>
      </c>
    </row>
    <row r="21" spans="1:2" x14ac:dyDescent="0.25">
      <c r="A21" s="11" t="s">
        <v>327</v>
      </c>
      <c r="B21" s="12">
        <v>6436</v>
      </c>
    </row>
    <row r="22" spans="1:2" x14ac:dyDescent="0.25">
      <c r="A22" s="11" t="s">
        <v>347</v>
      </c>
      <c r="B22" s="12">
        <v>1837898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78334-A438-4CB9-8062-670A69164AD1}">
  <sheetPr codeName="Sheet2"/>
  <dimension ref="A3:R40"/>
  <sheetViews>
    <sheetView workbookViewId="0">
      <selection activeCell="E27" sqref="E27"/>
    </sheetView>
  </sheetViews>
  <sheetFormatPr defaultRowHeight="13.5" x14ac:dyDescent="0.25"/>
  <cols>
    <col min="1" max="1" width="11.7109375" style="13" bestFit="1" customWidth="1"/>
    <col min="2" max="15" width="9.140625" style="13"/>
    <col min="16" max="16" width="7.140625" style="13" bestFit="1" customWidth="1"/>
    <col min="17" max="17" width="12" style="13" bestFit="1" customWidth="1"/>
    <col min="18" max="16384" width="9.140625" style="13"/>
  </cols>
  <sheetData>
    <row r="3" spans="1:18" ht="15" x14ac:dyDescent="0.25">
      <c r="R3"/>
    </row>
    <row r="4" spans="1:18" ht="15" x14ac:dyDescent="0.25">
      <c r="R4"/>
    </row>
    <row r="5" spans="1:18" ht="15" x14ac:dyDescent="0.25">
      <c r="A5" s="5" t="s">
        <v>1</v>
      </c>
      <c r="B5" s="1" t="s">
        <v>13</v>
      </c>
      <c r="C5" s="1" t="s">
        <v>14</v>
      </c>
      <c r="D5" s="1" t="s">
        <v>15</v>
      </c>
      <c r="E5" s="1" t="s">
        <v>16</v>
      </c>
      <c r="F5" s="1" t="s">
        <v>17</v>
      </c>
      <c r="G5" s="1" t="s">
        <v>18</v>
      </c>
      <c r="H5" s="1" t="s">
        <v>19</v>
      </c>
      <c r="I5" s="1" t="s">
        <v>20</v>
      </c>
      <c r="J5" s="1" t="s">
        <v>21</v>
      </c>
      <c r="K5" s="1" t="s">
        <v>22</v>
      </c>
      <c r="L5" s="1" t="s">
        <v>23</v>
      </c>
      <c r="M5" s="1" t="s">
        <v>24</v>
      </c>
      <c r="N5" s="2" t="s">
        <v>25</v>
      </c>
      <c r="O5" s="13" t="s">
        <v>349</v>
      </c>
      <c r="P5" s="13" t="s">
        <v>352</v>
      </c>
      <c r="Q5" s="13" t="s">
        <v>353</v>
      </c>
      <c r="R5"/>
    </row>
    <row r="6" spans="1:18" ht="15" x14ac:dyDescent="0.25">
      <c r="A6" s="6" t="s">
        <v>315</v>
      </c>
      <c r="B6" s="3">
        <v>24824</v>
      </c>
      <c r="C6" s="3">
        <v>29245</v>
      </c>
      <c r="D6" s="3">
        <v>23119</v>
      </c>
      <c r="E6" s="3">
        <v>8768</v>
      </c>
      <c r="F6" s="3">
        <v>19484</v>
      </c>
      <c r="G6" s="3">
        <v>20459</v>
      </c>
      <c r="H6" s="3">
        <v>22792</v>
      </c>
      <c r="I6" s="3">
        <v>27892</v>
      </c>
      <c r="J6" s="3">
        <v>28362</v>
      </c>
      <c r="K6" s="3">
        <v>29666</v>
      </c>
      <c r="L6" s="3">
        <v>29373</v>
      </c>
      <c r="M6" s="3">
        <v>30364</v>
      </c>
      <c r="N6" s="4">
        <f t="shared" ref="N6:N23" si="0">SUM(B6:M6)</f>
        <v>294348</v>
      </c>
      <c r="O6" s="13" t="s">
        <v>12</v>
      </c>
      <c r="P6" s="13">
        <v>3</v>
      </c>
      <c r="R6"/>
    </row>
    <row r="7" spans="1:18" ht="15" x14ac:dyDescent="0.25">
      <c r="A7" s="6" t="s">
        <v>316</v>
      </c>
      <c r="B7" s="3">
        <v>23477</v>
      </c>
      <c r="C7" s="3">
        <v>26590</v>
      </c>
      <c r="D7" s="3">
        <v>19147</v>
      </c>
      <c r="E7" s="3">
        <v>7270</v>
      </c>
      <c r="F7" s="3">
        <v>16155</v>
      </c>
      <c r="G7" s="3">
        <v>16963</v>
      </c>
      <c r="H7" s="3">
        <v>17564</v>
      </c>
      <c r="I7" s="3">
        <v>19154</v>
      </c>
      <c r="J7" s="3">
        <v>19894</v>
      </c>
      <c r="K7" s="3">
        <v>21569</v>
      </c>
      <c r="L7" s="3">
        <v>23987</v>
      </c>
      <c r="M7" s="3">
        <v>25409</v>
      </c>
      <c r="N7" s="4">
        <f t="shared" si="0"/>
        <v>237179</v>
      </c>
      <c r="O7" s="13" t="s">
        <v>12</v>
      </c>
      <c r="P7" s="13">
        <v>3</v>
      </c>
      <c r="R7"/>
    </row>
    <row r="8" spans="1:18" ht="15" x14ac:dyDescent="0.25">
      <c r="A8" s="6" t="s">
        <v>328</v>
      </c>
      <c r="B8" s="3">
        <v>4089</v>
      </c>
      <c r="C8" s="3">
        <v>4532</v>
      </c>
      <c r="D8" s="3">
        <v>2862</v>
      </c>
      <c r="E8" s="3">
        <v>1620</v>
      </c>
      <c r="F8" s="3">
        <v>3600</v>
      </c>
      <c r="G8" s="3">
        <v>3780</v>
      </c>
      <c r="H8" s="3">
        <v>4391</v>
      </c>
      <c r="I8" s="3">
        <v>3905</v>
      </c>
      <c r="J8" s="3">
        <v>3787</v>
      </c>
      <c r="K8" s="3">
        <v>3633</v>
      </c>
      <c r="L8" s="3">
        <v>3248</v>
      </c>
      <c r="M8" s="3">
        <v>4078</v>
      </c>
      <c r="N8" s="4">
        <f t="shared" si="0"/>
        <v>43525</v>
      </c>
      <c r="O8" s="13" t="s">
        <v>12</v>
      </c>
      <c r="P8" s="13">
        <v>2</v>
      </c>
      <c r="Q8"/>
      <c r="R8"/>
    </row>
    <row r="9" spans="1:18" ht="15" x14ac:dyDescent="0.25">
      <c r="A9" s="6" t="s">
        <v>322</v>
      </c>
      <c r="B9" s="3">
        <v>3934</v>
      </c>
      <c r="C9" s="3">
        <v>4778</v>
      </c>
      <c r="D9" s="3">
        <v>3164</v>
      </c>
      <c r="E9" s="3">
        <v>960</v>
      </c>
      <c r="F9" s="3">
        <v>2133</v>
      </c>
      <c r="G9" s="3">
        <v>2239</v>
      </c>
      <c r="H9" s="3">
        <v>3462</v>
      </c>
      <c r="I9" s="3">
        <v>3987</v>
      </c>
      <c r="J9" s="3">
        <v>4124</v>
      </c>
      <c r="K9" s="3">
        <v>2812</v>
      </c>
      <c r="L9" s="3">
        <v>3779</v>
      </c>
      <c r="M9" s="3">
        <v>7513</v>
      </c>
      <c r="N9" s="4">
        <f t="shared" si="0"/>
        <v>42885</v>
      </c>
      <c r="O9" s="13" t="s">
        <v>12</v>
      </c>
      <c r="P9" s="13">
        <v>1</v>
      </c>
      <c r="Q9"/>
      <c r="R9"/>
    </row>
    <row r="10" spans="1:18" ht="15" x14ac:dyDescent="0.25">
      <c r="A10" s="6" t="s">
        <v>313</v>
      </c>
      <c r="B10" s="3">
        <v>1510</v>
      </c>
      <c r="C10" s="3">
        <v>1550</v>
      </c>
      <c r="D10" s="3">
        <v>1020</v>
      </c>
      <c r="E10" s="3">
        <v>627</v>
      </c>
      <c r="F10" s="3">
        <v>1393</v>
      </c>
      <c r="G10" s="3">
        <v>1463</v>
      </c>
      <c r="H10" s="3">
        <v>1762</v>
      </c>
      <c r="I10" s="3">
        <v>1813</v>
      </c>
      <c r="J10" s="3">
        <v>1833</v>
      </c>
      <c r="K10" s="3">
        <v>1857</v>
      </c>
      <c r="L10" s="3">
        <v>1680</v>
      </c>
      <c r="M10" s="3">
        <v>1913</v>
      </c>
      <c r="N10" s="4">
        <f t="shared" si="0"/>
        <v>18421</v>
      </c>
      <c r="O10" s="13" t="s">
        <v>12</v>
      </c>
      <c r="P10" s="13">
        <v>3</v>
      </c>
      <c r="Q10"/>
      <c r="R10"/>
    </row>
    <row r="11" spans="1:18" ht="15" x14ac:dyDescent="0.25">
      <c r="A11" s="6" t="s">
        <v>327</v>
      </c>
      <c r="B11" s="3">
        <v>860</v>
      </c>
      <c r="C11" s="3">
        <v>965</v>
      </c>
      <c r="D11" s="3">
        <v>591</v>
      </c>
      <c r="E11" s="3">
        <v>236</v>
      </c>
      <c r="F11" s="3">
        <v>525</v>
      </c>
      <c r="G11" s="3">
        <v>551</v>
      </c>
      <c r="H11" s="3">
        <v>509</v>
      </c>
      <c r="I11" s="3">
        <v>726</v>
      </c>
      <c r="J11" s="3">
        <v>691</v>
      </c>
      <c r="K11" s="3">
        <v>442</v>
      </c>
      <c r="L11" s="3">
        <v>199</v>
      </c>
      <c r="M11" s="3">
        <v>141</v>
      </c>
      <c r="N11" s="4">
        <f t="shared" si="0"/>
        <v>6436</v>
      </c>
      <c r="O11" s="13" t="s">
        <v>12</v>
      </c>
      <c r="P11" s="13">
        <v>1</v>
      </c>
      <c r="Q11"/>
      <c r="R11"/>
    </row>
    <row r="12" spans="1:18" ht="15" x14ac:dyDescent="0.25">
      <c r="A12" s="6" t="s">
        <v>323</v>
      </c>
      <c r="B12" s="3">
        <v>342</v>
      </c>
      <c r="C12" s="3">
        <v>398</v>
      </c>
      <c r="D12" s="3">
        <v>273</v>
      </c>
      <c r="E12" s="3">
        <v>231</v>
      </c>
      <c r="F12" s="3">
        <v>512</v>
      </c>
      <c r="G12" s="3">
        <v>538</v>
      </c>
      <c r="H12" s="3">
        <v>515</v>
      </c>
      <c r="I12" s="3">
        <v>500</v>
      </c>
      <c r="J12" s="3">
        <v>489</v>
      </c>
      <c r="K12" s="3">
        <v>677</v>
      </c>
      <c r="L12" s="3">
        <v>708</v>
      </c>
      <c r="M12" s="3">
        <v>704</v>
      </c>
      <c r="N12" s="4">
        <f t="shared" si="0"/>
        <v>5887</v>
      </c>
      <c r="O12" s="13" t="s">
        <v>12</v>
      </c>
      <c r="P12" s="13">
        <v>2</v>
      </c>
      <c r="Q12"/>
      <c r="R12"/>
    </row>
    <row r="13" spans="1:18" ht="15" x14ac:dyDescent="0.25">
      <c r="A13" s="6">
        <v>86</v>
      </c>
      <c r="B13" s="3">
        <v>222</v>
      </c>
      <c r="C13" s="3">
        <v>280</v>
      </c>
      <c r="D13" s="3">
        <v>202</v>
      </c>
      <c r="E13" s="3">
        <v>116</v>
      </c>
      <c r="F13" s="3">
        <v>258</v>
      </c>
      <c r="G13" s="3">
        <v>271</v>
      </c>
      <c r="H13" s="3">
        <v>231</v>
      </c>
      <c r="I13" s="3">
        <v>236</v>
      </c>
      <c r="J13" s="3">
        <v>152</v>
      </c>
      <c r="K13" s="3">
        <v>172</v>
      </c>
      <c r="L13" s="3">
        <v>131</v>
      </c>
      <c r="M13" s="3">
        <v>205</v>
      </c>
      <c r="N13" s="4">
        <f t="shared" si="0"/>
        <v>2476</v>
      </c>
      <c r="O13" s="13" t="s">
        <v>12</v>
      </c>
      <c r="P13" s="13">
        <v>1</v>
      </c>
      <c r="Q13"/>
      <c r="R13"/>
    </row>
    <row r="14" spans="1:18" ht="15" x14ac:dyDescent="0.25">
      <c r="A14" s="6" t="s">
        <v>319</v>
      </c>
      <c r="B14" s="3">
        <v>57</v>
      </c>
      <c r="C14" s="3">
        <v>59</v>
      </c>
      <c r="D14" s="3">
        <v>31</v>
      </c>
      <c r="E14" s="3">
        <v>11</v>
      </c>
      <c r="F14" s="3">
        <v>25</v>
      </c>
      <c r="G14" s="3">
        <v>26</v>
      </c>
      <c r="H14" s="3">
        <v>27</v>
      </c>
      <c r="I14" s="3">
        <v>64</v>
      </c>
      <c r="J14" s="3">
        <v>41</v>
      </c>
      <c r="K14" s="3">
        <v>27</v>
      </c>
      <c r="L14" s="3">
        <v>111</v>
      </c>
      <c r="M14" s="3">
        <v>20</v>
      </c>
      <c r="N14" s="4">
        <f t="shared" si="0"/>
        <v>499</v>
      </c>
      <c r="O14" s="13" t="s">
        <v>12</v>
      </c>
      <c r="P14" s="13">
        <v>1</v>
      </c>
      <c r="Q14"/>
      <c r="R14"/>
    </row>
    <row r="15" spans="1:18" ht="15" x14ac:dyDescent="0.25">
      <c r="A15" s="6" t="s">
        <v>320</v>
      </c>
      <c r="B15" s="3">
        <v>33130</v>
      </c>
      <c r="C15" s="3">
        <v>39626</v>
      </c>
      <c r="D15" s="3">
        <v>24875</v>
      </c>
      <c r="E15" s="3">
        <v>15431</v>
      </c>
      <c r="F15" s="3">
        <v>34292</v>
      </c>
      <c r="G15" s="3">
        <v>36006</v>
      </c>
      <c r="H15" s="3">
        <v>36323</v>
      </c>
      <c r="I15" s="3">
        <v>39239</v>
      </c>
      <c r="J15" s="3">
        <v>43652</v>
      </c>
      <c r="K15" s="3">
        <v>40717</v>
      </c>
      <c r="L15" s="3">
        <v>40250</v>
      </c>
      <c r="M15" s="3">
        <v>46846</v>
      </c>
      <c r="N15" s="4">
        <f t="shared" si="0"/>
        <v>430387</v>
      </c>
      <c r="O15" s="13" t="s">
        <v>350</v>
      </c>
      <c r="P15" s="13">
        <v>3</v>
      </c>
      <c r="Q15"/>
      <c r="R15"/>
    </row>
    <row r="16" spans="1:18" ht="15" x14ac:dyDescent="0.25">
      <c r="A16" s="6" t="s">
        <v>317</v>
      </c>
      <c r="B16" s="3">
        <v>17009</v>
      </c>
      <c r="C16" s="3">
        <v>20174</v>
      </c>
      <c r="D16" s="3">
        <v>10707</v>
      </c>
      <c r="E16" s="3">
        <v>5613</v>
      </c>
      <c r="F16" s="3">
        <v>12472</v>
      </c>
      <c r="G16" s="3">
        <v>13096</v>
      </c>
      <c r="H16" s="3">
        <v>18128</v>
      </c>
      <c r="I16" s="3">
        <v>21795</v>
      </c>
      <c r="J16" s="3">
        <v>22307</v>
      </c>
      <c r="K16" s="3">
        <v>22262</v>
      </c>
      <c r="L16" s="3">
        <v>21935</v>
      </c>
      <c r="M16" s="3">
        <v>26778</v>
      </c>
      <c r="N16" s="4">
        <f t="shared" si="0"/>
        <v>212276</v>
      </c>
      <c r="O16" s="13" t="s">
        <v>350</v>
      </c>
      <c r="P16" s="13">
        <v>2</v>
      </c>
      <c r="Q16"/>
      <c r="R16"/>
    </row>
    <row r="17" spans="1:18" ht="15" x14ac:dyDescent="0.25">
      <c r="A17" s="6" t="s">
        <v>312</v>
      </c>
      <c r="B17" s="3">
        <v>9342</v>
      </c>
      <c r="C17" s="3">
        <v>10912</v>
      </c>
      <c r="D17" s="3">
        <v>7818</v>
      </c>
      <c r="E17" s="3">
        <v>5284</v>
      </c>
      <c r="F17" s="3">
        <v>11742</v>
      </c>
      <c r="G17" s="3">
        <v>12330</v>
      </c>
      <c r="H17" s="3">
        <v>9310</v>
      </c>
      <c r="I17" s="3">
        <v>9860</v>
      </c>
      <c r="J17" s="3">
        <v>10229</v>
      </c>
      <c r="K17" s="3">
        <v>12940</v>
      </c>
      <c r="L17" s="3">
        <v>12416</v>
      </c>
      <c r="M17" s="3">
        <v>16869</v>
      </c>
      <c r="N17" s="4">
        <f t="shared" si="0"/>
        <v>129052</v>
      </c>
      <c r="O17" s="13" t="s">
        <v>350</v>
      </c>
      <c r="P17" s="13">
        <v>1</v>
      </c>
      <c r="Q17"/>
      <c r="R17"/>
    </row>
    <row r="18" spans="1:18" ht="15" x14ac:dyDescent="0.25">
      <c r="A18" s="6" t="s">
        <v>314</v>
      </c>
      <c r="B18" s="3">
        <v>2961</v>
      </c>
      <c r="C18" s="3">
        <v>4439</v>
      </c>
      <c r="D18" s="3">
        <v>2972</v>
      </c>
      <c r="E18" s="3">
        <v>1989</v>
      </c>
      <c r="F18" s="3">
        <v>4421</v>
      </c>
      <c r="G18" s="3">
        <v>4642</v>
      </c>
      <c r="H18" s="3">
        <v>3677</v>
      </c>
      <c r="I18" s="3">
        <v>3897</v>
      </c>
      <c r="J18" s="3">
        <v>4606</v>
      </c>
      <c r="K18" s="3">
        <v>3358</v>
      </c>
      <c r="L18" s="3">
        <v>2666</v>
      </c>
      <c r="M18" s="3">
        <v>3308</v>
      </c>
      <c r="N18" s="4">
        <f t="shared" si="0"/>
        <v>42936</v>
      </c>
      <c r="O18" s="13" t="s">
        <v>350</v>
      </c>
      <c r="P18" s="13">
        <v>1</v>
      </c>
      <c r="Q18"/>
      <c r="R18"/>
    </row>
    <row r="19" spans="1:18" ht="15" x14ac:dyDescent="0.25">
      <c r="A19" s="6" t="s">
        <v>326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43</v>
      </c>
      <c r="J19" s="3">
        <v>1625</v>
      </c>
      <c r="K19" s="3">
        <v>3510</v>
      </c>
      <c r="L19" s="3">
        <v>3400</v>
      </c>
      <c r="M19" s="3">
        <v>4495</v>
      </c>
      <c r="N19" s="4">
        <f t="shared" si="0"/>
        <v>13073</v>
      </c>
      <c r="O19" s="13" t="s">
        <v>350</v>
      </c>
      <c r="P19" s="13">
        <v>1</v>
      </c>
      <c r="Q19"/>
      <c r="R19"/>
    </row>
    <row r="20" spans="1:18" ht="15" x14ac:dyDescent="0.25">
      <c r="A20" s="6" t="s">
        <v>321</v>
      </c>
      <c r="B20" s="3">
        <v>505</v>
      </c>
      <c r="C20" s="3">
        <v>571</v>
      </c>
      <c r="D20" s="3">
        <v>332</v>
      </c>
      <c r="E20" s="3">
        <v>202</v>
      </c>
      <c r="F20" s="3">
        <v>448</v>
      </c>
      <c r="G20" s="3">
        <v>470</v>
      </c>
      <c r="H20" s="3">
        <v>666</v>
      </c>
      <c r="I20" s="3">
        <v>769</v>
      </c>
      <c r="J20" s="3">
        <v>770</v>
      </c>
      <c r="K20" s="3">
        <v>831</v>
      </c>
      <c r="L20" s="3">
        <v>752</v>
      </c>
      <c r="M20" s="3">
        <v>1048</v>
      </c>
      <c r="N20" s="4">
        <f t="shared" si="0"/>
        <v>7364</v>
      </c>
      <c r="O20" s="13" t="s">
        <v>350</v>
      </c>
      <c r="P20" s="13">
        <v>1</v>
      </c>
      <c r="Q20"/>
      <c r="R20"/>
    </row>
    <row r="21" spans="1:18" ht="15" x14ac:dyDescent="0.25">
      <c r="A21" s="6" t="s">
        <v>318</v>
      </c>
      <c r="B21" s="3">
        <v>215</v>
      </c>
      <c r="C21" s="3">
        <v>226</v>
      </c>
      <c r="D21" s="3">
        <v>173</v>
      </c>
      <c r="E21" s="3">
        <v>114</v>
      </c>
      <c r="F21" s="3">
        <v>254</v>
      </c>
      <c r="G21" s="3">
        <v>267</v>
      </c>
      <c r="H21" s="3">
        <v>209</v>
      </c>
      <c r="I21" s="3">
        <v>161</v>
      </c>
      <c r="J21" s="3">
        <v>141</v>
      </c>
      <c r="K21" s="3">
        <v>412</v>
      </c>
      <c r="L21" s="3">
        <v>368</v>
      </c>
      <c r="M21" s="3">
        <v>606</v>
      </c>
      <c r="N21" s="4">
        <f t="shared" si="0"/>
        <v>3146</v>
      </c>
      <c r="O21" s="13" t="s">
        <v>350</v>
      </c>
      <c r="P21" s="13">
        <v>1</v>
      </c>
      <c r="Q21"/>
    </row>
    <row r="22" spans="1:18" ht="15" x14ac:dyDescent="0.25">
      <c r="A22" s="6" t="s">
        <v>324</v>
      </c>
      <c r="B22" s="3">
        <v>17112</v>
      </c>
      <c r="C22" s="3">
        <v>20609</v>
      </c>
      <c r="D22" s="3">
        <v>15915</v>
      </c>
      <c r="E22" s="3">
        <v>9191</v>
      </c>
      <c r="F22" s="3">
        <v>20425</v>
      </c>
      <c r="G22" s="3">
        <v>21446</v>
      </c>
      <c r="H22" s="3">
        <v>17412</v>
      </c>
      <c r="I22" s="3">
        <v>20579</v>
      </c>
      <c r="J22" s="3">
        <v>20929</v>
      </c>
      <c r="K22" s="3">
        <v>23774</v>
      </c>
      <c r="L22" s="3">
        <v>22456</v>
      </c>
      <c r="M22" s="3">
        <v>28957</v>
      </c>
      <c r="N22" s="4">
        <f t="shared" si="0"/>
        <v>238805</v>
      </c>
      <c r="O22" s="13" t="s">
        <v>351</v>
      </c>
      <c r="P22" s="13">
        <v>2</v>
      </c>
      <c r="Q22"/>
    </row>
    <row r="23" spans="1:18" ht="15" x14ac:dyDescent="0.25">
      <c r="A23" s="6" t="s">
        <v>325</v>
      </c>
      <c r="B23" s="3">
        <v>6655</v>
      </c>
      <c r="C23" s="3">
        <v>8059</v>
      </c>
      <c r="D23" s="3">
        <v>6944</v>
      </c>
      <c r="E23" s="3">
        <v>4900</v>
      </c>
      <c r="F23" s="3">
        <v>10889</v>
      </c>
      <c r="G23" s="3">
        <v>11433</v>
      </c>
      <c r="H23" s="3">
        <v>9066</v>
      </c>
      <c r="I23" s="3">
        <v>10130</v>
      </c>
      <c r="J23" s="3">
        <v>8738</v>
      </c>
      <c r="K23" s="3">
        <v>9999</v>
      </c>
      <c r="L23" s="3">
        <v>10266</v>
      </c>
      <c r="M23" s="3">
        <v>12124</v>
      </c>
      <c r="N23" s="4">
        <f t="shared" si="0"/>
        <v>109203</v>
      </c>
      <c r="O23" s="13" t="s">
        <v>351</v>
      </c>
      <c r="P23" s="13">
        <v>1</v>
      </c>
      <c r="Q23"/>
    </row>
    <row r="24" spans="1:18" ht="15" x14ac:dyDescent="0.25">
      <c r="P24"/>
      <c r="Q24"/>
    </row>
    <row r="25" spans="1:18" ht="15" x14ac:dyDescent="0.25">
      <c r="P25"/>
      <c r="Q25"/>
    </row>
    <row r="26" spans="1:18" ht="15" x14ac:dyDescent="0.25">
      <c r="K26" s="10" t="s">
        <v>349</v>
      </c>
      <c r="L26" t="s">
        <v>351</v>
      </c>
      <c r="P26"/>
      <c r="Q26"/>
    </row>
    <row r="27" spans="1:18" ht="15" x14ac:dyDescent="0.25">
      <c r="P27"/>
      <c r="Q27"/>
    </row>
    <row r="28" spans="1:18" ht="15" x14ac:dyDescent="0.25">
      <c r="K28" s="10" t="s">
        <v>346</v>
      </c>
      <c r="L28" t="s">
        <v>348</v>
      </c>
      <c r="P28"/>
      <c r="Q28"/>
    </row>
    <row r="29" spans="1:18" ht="15" x14ac:dyDescent="0.25">
      <c r="K29" s="11" t="s">
        <v>324</v>
      </c>
      <c r="L29" s="12">
        <v>238805</v>
      </c>
      <c r="P29"/>
      <c r="Q29"/>
    </row>
    <row r="30" spans="1:18" ht="15" x14ac:dyDescent="0.25">
      <c r="K30" s="11" t="s">
        <v>325</v>
      </c>
      <c r="L30" s="12">
        <v>109203</v>
      </c>
      <c r="P30"/>
      <c r="Q30"/>
    </row>
    <row r="31" spans="1:18" ht="15" x14ac:dyDescent="0.25">
      <c r="K31" s="11" t="s">
        <v>347</v>
      </c>
      <c r="L31" s="12">
        <v>348008</v>
      </c>
      <c r="P31"/>
      <c r="Q31"/>
    </row>
    <row r="32" spans="1:18" ht="15" x14ac:dyDescent="0.25">
      <c r="K32"/>
      <c r="L32"/>
      <c r="P32"/>
      <c r="Q32"/>
    </row>
    <row r="33" spans="16:17" ht="15" x14ac:dyDescent="0.25">
      <c r="P33"/>
      <c r="Q33"/>
    </row>
    <row r="34" spans="16:17" ht="15" x14ac:dyDescent="0.25">
      <c r="P34"/>
      <c r="Q34"/>
    </row>
    <row r="35" spans="16:17" ht="15" x14ac:dyDescent="0.25">
      <c r="P35"/>
      <c r="Q35"/>
    </row>
    <row r="36" spans="16:17" ht="15" x14ac:dyDescent="0.25">
      <c r="P36"/>
      <c r="Q36"/>
    </row>
    <row r="37" spans="16:17" ht="15" x14ac:dyDescent="0.25">
      <c r="P37"/>
      <c r="Q37"/>
    </row>
    <row r="38" spans="16:17" ht="15" x14ac:dyDescent="0.25">
      <c r="P38"/>
      <c r="Q38"/>
    </row>
    <row r="39" spans="16:17" ht="15" x14ac:dyDescent="0.25">
      <c r="P39"/>
      <c r="Q39"/>
    </row>
    <row r="40" spans="16:17" ht="15" x14ac:dyDescent="0.25">
      <c r="P40"/>
      <c r="Q40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Nguyen</dc:creator>
  <cp:lastModifiedBy>Robert Nguyen</cp:lastModifiedBy>
  <dcterms:created xsi:type="dcterms:W3CDTF">2021-05-13T20:54:28Z</dcterms:created>
  <dcterms:modified xsi:type="dcterms:W3CDTF">2021-05-17T01:20:08Z</dcterms:modified>
</cp:coreProperties>
</file>