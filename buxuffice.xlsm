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ber\Documents\Docs\"/>
    </mc:Choice>
  </mc:AlternateContent>
  <xr:revisionPtr revIDLastSave="0" documentId="13_ncr:1_{C65FF8BB-90B7-43D6-83B9-F7E677BE525F}" xr6:coauthVersionLast="46" xr6:coauthVersionMax="46" xr10:uidLastSave="{00000000-0000-0000-0000-000000000000}"/>
  <bookViews>
    <workbookView xWindow="-120" yWindow="-120" windowWidth="29040" windowHeight="15840" tabRatio="888" xr2:uid="{00000000-000D-0000-FFFF-FFFF00000000}"/>
  </bookViews>
  <sheets>
    <sheet name="Disney (2010s)" sheetId="1" r:id="rId1"/>
    <sheet name="Disney20-" sheetId="30" r:id="rId2"/>
    <sheet name="Disney+" sheetId="48" r:id="rId3"/>
    <sheet name="WB (2010s)" sheetId="13" r:id="rId4"/>
    <sheet name="FOX2019" sheetId="39" r:id="rId5"/>
    <sheet name="UNI2017" sheetId="22" r:id="rId6"/>
    <sheet name="HTTYD" sheetId="38" r:id="rId7"/>
    <sheet name="Sheet2" sheetId="41" r:id="rId8"/>
    <sheet name="Pixar" sheetId="19" r:id="rId9"/>
    <sheet name="Pixar (2)" sheetId="49" r:id="rId10"/>
    <sheet name="Sheet1" sheetId="44" r:id="rId11"/>
    <sheet name="Sheet3" sheetId="46" r:id="rId12"/>
    <sheet name="ani" sheetId="43" r:id="rId13"/>
    <sheet name="MCU" sheetId="27" r:id="rId14"/>
    <sheet name="Thursday Tracker" sheetId="45" r:id="rId15"/>
  </sheets>
  <definedNames>
    <definedName name="_xlnm._FilterDatabase" localSheetId="12" hidden="1">ani!$A$2:$H$2</definedName>
    <definedName name="_xlnm._FilterDatabase" localSheetId="0" hidden="1">'Disney (2010s)'!$A$1:$O$1</definedName>
    <definedName name="_xlnm._FilterDatabase" localSheetId="2" hidden="1">'Disney+'!$A$2:$F$2</definedName>
    <definedName name="_xlnm._FilterDatabase" localSheetId="8" hidden="1">Pixar!$A$1:$R$23</definedName>
    <definedName name="_xlnm._FilterDatabase" localSheetId="9" hidden="1">'Pixar (2)'!$A$1:$R$23</definedName>
    <definedName name="_xlchart.v1.0" hidden="1">Sheet1!$F$1:$F$10</definedName>
    <definedName name="Bottom">'Disney (2010s)'!$A$114:$O$114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13" i="1" l="1"/>
  <c r="H113" i="1" s="1"/>
  <c r="M113" i="1"/>
  <c r="K113" i="1"/>
  <c r="O112" i="1"/>
  <c r="H112" i="1" s="1"/>
  <c r="M112" i="1"/>
  <c r="K112" i="1"/>
  <c r="O111" i="1"/>
  <c r="H111" i="1" s="1"/>
  <c r="M111" i="1"/>
  <c r="K111" i="1"/>
  <c r="O110" i="1"/>
  <c r="H110" i="1" s="1"/>
  <c r="M110" i="1"/>
  <c r="K110" i="1"/>
  <c r="M34" i="30"/>
  <c r="K34" i="30"/>
  <c r="I34" i="30"/>
  <c r="M33" i="30"/>
  <c r="K33" i="30"/>
  <c r="I33" i="30"/>
  <c r="M32" i="30"/>
  <c r="K32" i="30"/>
  <c r="I32" i="30"/>
  <c r="M31" i="30"/>
  <c r="K31" i="30"/>
  <c r="I31" i="30"/>
  <c r="M30" i="30"/>
  <c r="K30" i="30"/>
  <c r="I30" i="30"/>
  <c r="M29" i="30"/>
  <c r="K29" i="30"/>
  <c r="I29" i="30"/>
  <c r="M28" i="30"/>
  <c r="K28" i="30"/>
  <c r="I28" i="30"/>
  <c r="M27" i="30"/>
  <c r="K27" i="30"/>
  <c r="I27" i="30"/>
  <c r="M26" i="30"/>
  <c r="K26" i="30"/>
  <c r="I26" i="30"/>
  <c r="M25" i="30"/>
  <c r="K25" i="30"/>
  <c r="I25" i="30"/>
  <c r="M24" i="30"/>
  <c r="K24" i="30"/>
  <c r="I24" i="30"/>
  <c r="M23" i="30"/>
  <c r="K23" i="30"/>
  <c r="I23" i="30"/>
  <c r="O42" i="1"/>
  <c r="H42" i="1" s="1"/>
  <c r="M42" i="1"/>
  <c r="K42" i="1"/>
  <c r="E16" i="49" l="1"/>
  <c r="E24" i="19" l="1"/>
  <c r="G63" i="13" l="1"/>
  <c r="I63" i="13"/>
  <c r="K63" i="13"/>
  <c r="G64" i="13"/>
  <c r="I64" i="13"/>
  <c r="K64" i="13"/>
  <c r="G65" i="13"/>
  <c r="I65" i="13"/>
  <c r="K65" i="13"/>
  <c r="G66" i="13"/>
  <c r="I66" i="13"/>
  <c r="K66" i="13"/>
  <c r="G67" i="13"/>
  <c r="I67" i="13"/>
  <c r="K67" i="13"/>
  <c r="G68" i="13"/>
  <c r="I68" i="13"/>
  <c r="K68" i="13"/>
  <c r="G69" i="13"/>
  <c r="I69" i="13"/>
  <c r="K69" i="13"/>
  <c r="G70" i="13"/>
  <c r="I70" i="13"/>
  <c r="K70" i="13"/>
  <c r="O13" i="1" l="1"/>
  <c r="H13" i="1" s="1"/>
  <c r="E2" i="49" l="1"/>
  <c r="E12" i="49"/>
  <c r="E3" i="49"/>
  <c r="E15" i="49"/>
  <c r="E6" i="49"/>
  <c r="E11" i="49"/>
  <c r="E21" i="49"/>
  <c r="E7" i="49"/>
  <c r="E10" i="49"/>
  <c r="E9" i="49"/>
  <c r="E5" i="49"/>
  <c r="E24" i="49"/>
  <c r="E22" i="49"/>
  <c r="E20" i="49"/>
  <c r="E4" i="49"/>
  <c r="E19" i="49"/>
  <c r="E14" i="49"/>
  <c r="E23" i="49"/>
  <c r="E17" i="49"/>
  <c r="E8" i="49"/>
  <c r="E18" i="49"/>
  <c r="E13" i="49"/>
  <c r="E20" i="19"/>
  <c r="B41" i="49"/>
  <c r="N16" i="49"/>
  <c r="J16" i="49"/>
  <c r="Q24" i="49"/>
  <c r="O24" i="49"/>
  <c r="N24" i="49"/>
  <c r="L24" i="49"/>
  <c r="J24" i="49"/>
  <c r="Q19" i="49"/>
  <c r="O19" i="49"/>
  <c r="N19" i="49"/>
  <c r="L19" i="49"/>
  <c r="J19" i="49"/>
  <c r="Q20" i="49"/>
  <c r="O20" i="49"/>
  <c r="N20" i="49"/>
  <c r="L20" i="49"/>
  <c r="J20" i="49"/>
  <c r="Q23" i="49"/>
  <c r="O23" i="49"/>
  <c r="N23" i="49"/>
  <c r="L23" i="49"/>
  <c r="J23" i="49"/>
  <c r="Q22" i="49"/>
  <c r="O22" i="49"/>
  <c r="N22" i="49"/>
  <c r="L22" i="49"/>
  <c r="J22" i="49"/>
  <c r="Q14" i="49"/>
  <c r="O14" i="49"/>
  <c r="N14" i="49"/>
  <c r="L14" i="49"/>
  <c r="J14" i="49"/>
  <c r="Q17" i="49"/>
  <c r="O17" i="49"/>
  <c r="N17" i="49"/>
  <c r="L17" i="49"/>
  <c r="J17" i="49"/>
  <c r="Q21" i="49"/>
  <c r="O21" i="49"/>
  <c r="N21" i="49"/>
  <c r="L21" i="49"/>
  <c r="J21" i="49"/>
  <c r="Q12" i="49"/>
  <c r="O12" i="49"/>
  <c r="N12" i="49"/>
  <c r="L12" i="49"/>
  <c r="J12" i="49"/>
  <c r="Q3" i="49"/>
  <c r="O3" i="49"/>
  <c r="N3" i="49"/>
  <c r="L3" i="49"/>
  <c r="J3" i="49"/>
  <c r="Q18" i="49"/>
  <c r="O18" i="49"/>
  <c r="N18" i="49"/>
  <c r="L18" i="49"/>
  <c r="J18" i="49"/>
  <c r="Q6" i="49"/>
  <c r="O6" i="49"/>
  <c r="N6" i="49"/>
  <c r="L6" i="49"/>
  <c r="J6" i="49"/>
  <c r="Q8" i="49"/>
  <c r="O8" i="49"/>
  <c r="N8" i="49"/>
  <c r="L8" i="49"/>
  <c r="J8" i="49"/>
  <c r="Q2" i="49"/>
  <c r="O2" i="49"/>
  <c r="N2" i="49"/>
  <c r="L2" i="49"/>
  <c r="J2" i="49"/>
  <c r="Q15" i="49"/>
  <c r="O15" i="49"/>
  <c r="N15" i="49"/>
  <c r="L15" i="49"/>
  <c r="J15" i="49"/>
  <c r="Q9" i="49"/>
  <c r="O9" i="49"/>
  <c r="N9" i="49"/>
  <c r="L9" i="49"/>
  <c r="J9" i="49"/>
  <c r="Q11" i="49"/>
  <c r="O11" i="49"/>
  <c r="N11" i="49"/>
  <c r="L11" i="49"/>
  <c r="J11" i="49"/>
  <c r="Q5" i="49"/>
  <c r="O5" i="49"/>
  <c r="N5" i="49"/>
  <c r="L5" i="49"/>
  <c r="J5" i="49"/>
  <c r="Q7" i="49"/>
  <c r="O7" i="49"/>
  <c r="N7" i="49"/>
  <c r="L7" i="49"/>
  <c r="J7" i="49"/>
  <c r="Q13" i="49"/>
  <c r="O13" i="49"/>
  <c r="N13" i="49"/>
  <c r="L13" i="49"/>
  <c r="J13" i="49"/>
  <c r="Q10" i="49"/>
  <c r="O10" i="49"/>
  <c r="N10" i="49"/>
  <c r="L10" i="49"/>
  <c r="J10" i="49"/>
  <c r="Q4" i="49"/>
  <c r="O4" i="49"/>
  <c r="N4" i="49"/>
  <c r="L4" i="49"/>
  <c r="J4" i="49"/>
  <c r="E19" i="19" l="1"/>
  <c r="E2" i="19" l="1"/>
  <c r="E3" i="19"/>
  <c r="E4" i="19"/>
  <c r="E6" i="19"/>
  <c r="E7" i="19"/>
  <c r="E9" i="19"/>
  <c r="E10" i="19"/>
  <c r="E11" i="19"/>
  <c r="E12" i="19"/>
  <c r="E13" i="19"/>
  <c r="E14" i="19"/>
  <c r="E15" i="19"/>
  <c r="E16" i="19"/>
  <c r="E17" i="19"/>
  <c r="E18" i="19"/>
  <c r="E22" i="19"/>
  <c r="E23" i="19"/>
  <c r="E21" i="19"/>
  <c r="N24" i="19" l="1"/>
  <c r="B41" i="19" l="1"/>
  <c r="O56" i="1" l="1"/>
  <c r="H56" i="1" s="1"/>
  <c r="I17" i="30" l="1"/>
  <c r="K17" i="30"/>
  <c r="M17" i="30"/>
  <c r="O2" i="19" l="1"/>
  <c r="O3" i="19"/>
  <c r="O4" i="19"/>
  <c r="O5" i="19"/>
  <c r="O6" i="19"/>
  <c r="O7" i="19"/>
  <c r="O8" i="19"/>
  <c r="O9" i="19"/>
  <c r="O10" i="19"/>
  <c r="O11" i="19"/>
  <c r="O12" i="19"/>
  <c r="O13" i="19"/>
  <c r="O14" i="19"/>
  <c r="O15" i="19"/>
  <c r="O16" i="19"/>
  <c r="O17" i="19"/>
  <c r="O18" i="19"/>
  <c r="O19" i="19"/>
  <c r="O20" i="19"/>
  <c r="O21" i="19"/>
  <c r="O22" i="19"/>
  <c r="O23" i="19"/>
  <c r="Q2" i="19"/>
  <c r="Q3" i="19"/>
  <c r="Q4" i="19"/>
  <c r="Q5" i="19"/>
  <c r="Q6" i="19"/>
  <c r="Q7" i="19"/>
  <c r="Q8" i="19"/>
  <c r="Q9" i="19"/>
  <c r="Q10" i="19"/>
  <c r="Q11" i="19"/>
  <c r="Q12" i="19"/>
  <c r="Q13" i="19"/>
  <c r="Q14" i="19"/>
  <c r="Q15" i="19"/>
  <c r="Q16" i="19"/>
  <c r="Q17" i="19"/>
  <c r="Q18" i="19"/>
  <c r="Q19" i="19"/>
  <c r="Q20" i="19"/>
  <c r="Q21" i="19"/>
  <c r="Q22" i="19"/>
  <c r="Q23" i="19"/>
  <c r="O8" i="1"/>
  <c r="H8" i="1" s="1"/>
  <c r="O109" i="1"/>
  <c r="H109" i="1" s="1"/>
  <c r="O49" i="1"/>
  <c r="H49" i="1" s="1"/>
  <c r="K49" i="1"/>
  <c r="M49" i="1"/>
  <c r="O59" i="1"/>
  <c r="H59" i="1" s="1"/>
  <c r="O60" i="1"/>
  <c r="H60" i="1" s="1"/>
  <c r="O61" i="1"/>
  <c r="H61" i="1" s="1"/>
  <c r="O53" i="1"/>
  <c r="H53" i="1" s="1"/>
  <c r="O62" i="1"/>
  <c r="H62" i="1" s="1"/>
  <c r="O63" i="1"/>
  <c r="H63" i="1" s="1"/>
  <c r="O64" i="1"/>
  <c r="H64" i="1" s="1"/>
  <c r="O65" i="1"/>
  <c r="H65" i="1" s="1"/>
  <c r="O43" i="1"/>
  <c r="H43" i="1" s="1"/>
  <c r="O66" i="1"/>
  <c r="H66" i="1" s="1"/>
  <c r="O67" i="1"/>
  <c r="H67" i="1" s="1"/>
  <c r="O68" i="1"/>
  <c r="H68" i="1" s="1"/>
  <c r="O69" i="1"/>
  <c r="H69" i="1" s="1"/>
  <c r="O70" i="1"/>
  <c r="H70" i="1" s="1"/>
  <c r="O71" i="1"/>
  <c r="H71" i="1" s="1"/>
  <c r="O72" i="1"/>
  <c r="H72" i="1" s="1"/>
  <c r="O2" i="1"/>
  <c r="H2" i="1" s="1"/>
  <c r="O34" i="1"/>
  <c r="H34" i="1" s="1"/>
  <c r="O73" i="1"/>
  <c r="H73" i="1" s="1"/>
  <c r="O74" i="1"/>
  <c r="H74" i="1" s="1"/>
  <c r="O75" i="1"/>
  <c r="H75" i="1" s="1"/>
  <c r="O76" i="1"/>
  <c r="H76" i="1" s="1"/>
  <c r="O77" i="1"/>
  <c r="H77" i="1" s="1"/>
  <c r="O78" i="1"/>
  <c r="H78" i="1" s="1"/>
  <c r="O79" i="1"/>
  <c r="H79" i="1" s="1"/>
  <c r="O37" i="1"/>
  <c r="H37" i="1" s="1"/>
  <c r="O18" i="1"/>
  <c r="H18" i="1" s="1"/>
  <c r="O80" i="1"/>
  <c r="H80" i="1" s="1"/>
  <c r="O81" i="1"/>
  <c r="H81" i="1" s="1"/>
  <c r="O82" i="1"/>
  <c r="H82" i="1" s="1"/>
  <c r="O44" i="1"/>
  <c r="H44" i="1" s="1"/>
  <c r="O83" i="1"/>
  <c r="H83" i="1" s="1"/>
  <c r="O84" i="1"/>
  <c r="H84" i="1" s="1"/>
  <c r="O85" i="1"/>
  <c r="H85" i="1" s="1"/>
  <c r="O19" i="1"/>
  <c r="H19" i="1" s="1"/>
  <c r="O86" i="1"/>
  <c r="H86" i="1" s="1"/>
  <c r="O87" i="1"/>
  <c r="H87" i="1" s="1"/>
  <c r="O88" i="1"/>
  <c r="H88" i="1" s="1"/>
  <c r="O6" i="1"/>
  <c r="H6" i="1" s="1"/>
  <c r="O89" i="1"/>
  <c r="H89" i="1" s="1"/>
  <c r="O45" i="1"/>
  <c r="H45" i="1" s="1"/>
  <c r="O90" i="1"/>
  <c r="H90" i="1" s="1"/>
  <c r="O50" i="1"/>
  <c r="H50" i="1" s="1"/>
  <c r="O91" i="1"/>
  <c r="H91" i="1" s="1"/>
  <c r="O92" i="1"/>
  <c r="H92" i="1" s="1"/>
  <c r="O46" i="1"/>
  <c r="H46" i="1" s="1"/>
  <c r="O93" i="1"/>
  <c r="H93" i="1" s="1"/>
  <c r="O9" i="1"/>
  <c r="H9" i="1" s="1"/>
  <c r="O94" i="1"/>
  <c r="H94" i="1" s="1"/>
  <c r="O28" i="1"/>
  <c r="H28" i="1" s="1"/>
  <c r="O95" i="1"/>
  <c r="H95" i="1" s="1"/>
  <c r="O96" i="1"/>
  <c r="H96" i="1" s="1"/>
  <c r="O47" i="1"/>
  <c r="H47" i="1" s="1"/>
  <c r="O97" i="1"/>
  <c r="H97" i="1" s="1"/>
  <c r="O98" i="1"/>
  <c r="H98" i="1" s="1"/>
  <c r="O99" i="1"/>
  <c r="H99" i="1" s="1"/>
  <c r="O29" i="1"/>
  <c r="H29" i="1" s="1"/>
  <c r="O20" i="1"/>
  <c r="H20" i="1" s="1"/>
  <c r="O100" i="1"/>
  <c r="H100" i="1" s="1"/>
  <c r="O57" i="1"/>
  <c r="H57" i="1" s="1"/>
  <c r="O22" i="1"/>
  <c r="H22" i="1" s="1"/>
  <c r="O101" i="1"/>
  <c r="H101" i="1" s="1"/>
  <c r="O10" i="1"/>
  <c r="H10" i="1" s="1"/>
  <c r="O30" i="1"/>
  <c r="H30" i="1" s="1"/>
  <c r="O102" i="1"/>
  <c r="H102" i="1" s="1"/>
  <c r="O48" i="1"/>
  <c r="H48" i="1" s="1"/>
  <c r="O14" i="1"/>
  <c r="H14" i="1" s="1"/>
  <c r="O31" i="1"/>
  <c r="H31" i="1" s="1"/>
  <c r="O103" i="1"/>
  <c r="H103" i="1" s="1"/>
  <c r="O25" i="1"/>
  <c r="H25" i="1" s="1"/>
  <c r="O104" i="1"/>
  <c r="H104" i="1" s="1"/>
  <c r="O105" i="1"/>
  <c r="H105" i="1" s="1"/>
  <c r="O106" i="1"/>
  <c r="H106" i="1" s="1"/>
  <c r="O107" i="1"/>
  <c r="H107" i="1" s="1"/>
  <c r="O15" i="1"/>
  <c r="H15" i="1" s="1"/>
  <c r="O54" i="1"/>
  <c r="H54" i="1" s="1"/>
  <c r="O35" i="1"/>
  <c r="H35" i="1" s="1"/>
  <c r="O12" i="1"/>
  <c r="H12" i="1" s="1"/>
  <c r="O23" i="1"/>
  <c r="H23" i="1" s="1"/>
  <c r="O108" i="1"/>
  <c r="H108" i="1" s="1"/>
  <c r="O16" i="1"/>
  <c r="H16" i="1" s="1"/>
  <c r="O41" i="1"/>
  <c r="H41" i="1" s="1"/>
  <c r="O55" i="1"/>
  <c r="H55" i="1" s="1"/>
  <c r="O21" i="1"/>
  <c r="H21" i="1" s="1"/>
  <c r="O39" i="1"/>
  <c r="H39" i="1" s="1"/>
  <c r="O5" i="1"/>
  <c r="H5" i="1" s="1"/>
  <c r="O40" i="1"/>
  <c r="H40" i="1" s="1"/>
  <c r="O7" i="1"/>
  <c r="H7" i="1" s="1"/>
  <c r="O26" i="1"/>
  <c r="H26" i="1" s="1"/>
  <c r="O36" i="1"/>
  <c r="H36" i="1" s="1"/>
  <c r="O27" i="1"/>
  <c r="H27" i="1" s="1"/>
  <c r="O3" i="1"/>
  <c r="H3" i="1" s="1"/>
  <c r="O38" i="1"/>
  <c r="H38" i="1" s="1"/>
  <c r="O17" i="1"/>
  <c r="H17" i="1" s="1"/>
  <c r="O32" i="1"/>
  <c r="H32" i="1" s="1"/>
  <c r="O4" i="1"/>
  <c r="H4" i="1" s="1"/>
  <c r="O51" i="1"/>
  <c r="H51" i="1" s="1"/>
  <c r="O24" i="1"/>
  <c r="H24" i="1" s="1"/>
  <c r="O52" i="1"/>
  <c r="H52" i="1" s="1"/>
  <c r="O58" i="1"/>
  <c r="H58" i="1" s="1"/>
  <c r="G3" i="38"/>
  <c r="E3" i="38"/>
  <c r="G4" i="38"/>
  <c r="E4" i="38"/>
  <c r="G5" i="38"/>
  <c r="E5" i="38"/>
  <c r="E8" i="19"/>
  <c r="J23" i="19"/>
  <c r="L23" i="19"/>
  <c r="N23" i="19"/>
  <c r="L19" i="19"/>
  <c r="C23" i="46"/>
  <c r="E23" i="46" s="1"/>
  <c r="B23" i="46"/>
  <c r="D22" i="46"/>
  <c r="C22" i="46"/>
  <c r="B22" i="46"/>
  <c r="D21" i="46"/>
  <c r="C21" i="46"/>
  <c r="B21" i="46"/>
  <c r="D20" i="46"/>
  <c r="C20" i="46"/>
  <c r="B20" i="46"/>
  <c r="D19" i="46"/>
  <c r="C19" i="46"/>
  <c r="B19" i="46"/>
  <c r="D18" i="46"/>
  <c r="C18" i="46"/>
  <c r="B18" i="46"/>
  <c r="D17" i="46"/>
  <c r="C17" i="46"/>
  <c r="B17" i="46"/>
  <c r="D16" i="46"/>
  <c r="C16" i="46"/>
  <c r="B16" i="46"/>
  <c r="D15" i="46"/>
  <c r="C15" i="46"/>
  <c r="B15" i="46"/>
  <c r="D14" i="46"/>
  <c r="C14" i="46"/>
  <c r="B14" i="46"/>
  <c r="D13" i="46"/>
  <c r="C13" i="46"/>
  <c r="B13" i="46"/>
  <c r="D12" i="46"/>
  <c r="C12" i="46"/>
  <c r="B12" i="46"/>
  <c r="D11" i="46"/>
  <c r="C11" i="46"/>
  <c r="B11" i="46"/>
  <c r="D10" i="46"/>
  <c r="C10" i="46"/>
  <c r="B10" i="46"/>
  <c r="D9" i="46"/>
  <c r="C9" i="46"/>
  <c r="B9" i="46"/>
  <c r="D8" i="46"/>
  <c r="C8" i="46"/>
  <c r="B8" i="46"/>
  <c r="D7" i="46"/>
  <c r="C7" i="46"/>
  <c r="B7" i="46"/>
  <c r="D6" i="46"/>
  <c r="C6" i="46"/>
  <c r="B6" i="46"/>
  <c r="D5" i="46"/>
  <c r="C5" i="46"/>
  <c r="B5" i="46"/>
  <c r="D4" i="46"/>
  <c r="B4" i="46"/>
  <c r="D3" i="46"/>
  <c r="C3" i="46"/>
  <c r="B3" i="46"/>
  <c r="D2" i="46"/>
  <c r="C2" i="46"/>
  <c r="B2" i="46"/>
  <c r="F2" i="44"/>
  <c r="F3" i="44"/>
  <c r="F4" i="44"/>
  <c r="F5" i="44"/>
  <c r="F6" i="44"/>
  <c r="F7" i="44"/>
  <c r="F8" i="44"/>
  <c r="F9" i="44"/>
  <c r="F10" i="44"/>
  <c r="F1" i="44"/>
  <c r="E1" i="44"/>
  <c r="E9" i="44"/>
  <c r="E10" i="44"/>
  <c r="E3" i="44"/>
  <c r="E4" i="44"/>
  <c r="E2" i="44"/>
  <c r="E6" i="44"/>
  <c r="E7" i="44"/>
  <c r="E8" i="44"/>
  <c r="E5" i="44"/>
  <c r="I12" i="30"/>
  <c r="K12" i="30"/>
  <c r="M12" i="30"/>
  <c r="I13" i="30"/>
  <c r="K13" i="30"/>
  <c r="M13" i="30"/>
  <c r="I14" i="30"/>
  <c r="K14" i="30"/>
  <c r="M14" i="30"/>
  <c r="I15" i="30"/>
  <c r="K15" i="30"/>
  <c r="M15" i="30"/>
  <c r="I16" i="30"/>
  <c r="K16" i="30"/>
  <c r="M16" i="30"/>
  <c r="I18" i="30"/>
  <c r="K18" i="30"/>
  <c r="M18" i="30"/>
  <c r="I19" i="30"/>
  <c r="K19" i="30"/>
  <c r="M19" i="30"/>
  <c r="C4" i="46"/>
  <c r="E5" i="19"/>
  <c r="M107" i="1"/>
  <c r="M106" i="1"/>
  <c r="M105" i="1"/>
  <c r="K107" i="1"/>
  <c r="K106" i="1"/>
  <c r="K58" i="1"/>
  <c r="M58" i="1"/>
  <c r="K59" i="1"/>
  <c r="M59" i="1"/>
  <c r="K60" i="1"/>
  <c r="M60" i="1"/>
  <c r="K61" i="1"/>
  <c r="M61" i="1"/>
  <c r="K53" i="1"/>
  <c r="M53" i="1"/>
  <c r="K62" i="1"/>
  <c r="M62" i="1"/>
  <c r="K63" i="1"/>
  <c r="M63" i="1"/>
  <c r="K64" i="1"/>
  <c r="M64" i="1"/>
  <c r="K65" i="1"/>
  <c r="M65" i="1"/>
  <c r="K43" i="1"/>
  <c r="M43" i="1"/>
  <c r="K66" i="1"/>
  <c r="M66" i="1"/>
  <c r="K67" i="1"/>
  <c r="M67" i="1"/>
  <c r="K68" i="1"/>
  <c r="M68" i="1"/>
  <c r="K69" i="1"/>
  <c r="M69" i="1"/>
  <c r="K70" i="1"/>
  <c r="M70" i="1"/>
  <c r="K71" i="1"/>
  <c r="M71" i="1"/>
  <c r="K72" i="1"/>
  <c r="M72" i="1"/>
  <c r="K2" i="1"/>
  <c r="M2" i="1"/>
  <c r="K34" i="1"/>
  <c r="M34" i="1"/>
  <c r="K73" i="1"/>
  <c r="M73" i="1"/>
  <c r="K74" i="1"/>
  <c r="M74" i="1"/>
  <c r="K75" i="1"/>
  <c r="M75" i="1"/>
  <c r="K76" i="1"/>
  <c r="M76" i="1"/>
  <c r="K77" i="1"/>
  <c r="M77" i="1"/>
  <c r="K11" i="1"/>
  <c r="P6" i="43"/>
  <c r="P8" i="43"/>
  <c r="P10" i="43"/>
  <c r="O8" i="43"/>
  <c r="O7" i="43"/>
  <c r="P7" i="43" s="1"/>
  <c r="O6" i="43"/>
  <c r="O9" i="43"/>
  <c r="P9" i="43" s="1"/>
  <c r="O10" i="43"/>
  <c r="O5" i="43"/>
  <c r="P5" i="43" s="1"/>
  <c r="O11" i="43"/>
  <c r="P11" i="43" s="1"/>
  <c r="L74" i="22"/>
  <c r="J74" i="22"/>
  <c r="H74" i="22"/>
  <c r="L73" i="22"/>
  <c r="J73" i="22"/>
  <c r="H73" i="22"/>
  <c r="L72" i="22"/>
  <c r="J72" i="22"/>
  <c r="H72" i="22"/>
  <c r="L71" i="22"/>
  <c r="J71" i="22"/>
  <c r="H71" i="22"/>
  <c r="L70" i="22"/>
  <c r="J70" i="22"/>
  <c r="H70" i="22"/>
  <c r="L69" i="22"/>
  <c r="J69" i="22"/>
  <c r="H69" i="22"/>
  <c r="L68" i="22"/>
  <c r="J68" i="22"/>
  <c r="H68" i="22"/>
  <c r="L67" i="22"/>
  <c r="J67" i="22"/>
  <c r="H67" i="22"/>
  <c r="L66" i="22"/>
  <c r="J66" i="22"/>
  <c r="H66" i="22"/>
  <c r="L65" i="22"/>
  <c r="J65" i="22"/>
  <c r="H65" i="22"/>
  <c r="L64" i="22"/>
  <c r="J64" i="22"/>
  <c r="H64" i="22"/>
  <c r="L63" i="22"/>
  <c r="J63" i="22"/>
  <c r="H63" i="22"/>
  <c r="L62" i="22"/>
  <c r="J62" i="22"/>
  <c r="H62" i="22"/>
  <c r="L61" i="22"/>
  <c r="J61" i="22"/>
  <c r="H61" i="22"/>
  <c r="L60" i="22"/>
  <c r="J60" i="22"/>
  <c r="H60" i="22"/>
  <c r="L59" i="22"/>
  <c r="J59" i="22"/>
  <c r="H59" i="22"/>
  <c r="L58" i="22"/>
  <c r="J58" i="22"/>
  <c r="H58" i="22"/>
  <c r="L57" i="22"/>
  <c r="J57" i="22"/>
  <c r="H57" i="22"/>
  <c r="L56" i="22"/>
  <c r="J56" i="22"/>
  <c r="H56" i="22"/>
  <c r="L55" i="22"/>
  <c r="J55" i="22"/>
  <c r="H55" i="22"/>
  <c r="L54" i="22"/>
  <c r="J54" i="22"/>
  <c r="H54" i="22"/>
  <c r="L53" i="22"/>
  <c r="J53" i="22"/>
  <c r="H53" i="22"/>
  <c r="L52" i="22"/>
  <c r="J52" i="22"/>
  <c r="H52" i="22"/>
  <c r="L51" i="22"/>
  <c r="J51" i="22"/>
  <c r="H51" i="22"/>
  <c r="L50" i="22"/>
  <c r="J50" i="22"/>
  <c r="H50" i="22"/>
  <c r="L49" i="22"/>
  <c r="J49" i="22"/>
  <c r="H49" i="22"/>
  <c r="L48" i="22"/>
  <c r="J48" i="22"/>
  <c r="H48" i="22"/>
  <c r="L47" i="22"/>
  <c r="J47" i="22"/>
  <c r="H47" i="22"/>
  <c r="L46" i="22"/>
  <c r="J46" i="22"/>
  <c r="H46" i="22"/>
  <c r="L45" i="22"/>
  <c r="J45" i="22"/>
  <c r="H45" i="22"/>
  <c r="L44" i="22"/>
  <c r="J44" i="22"/>
  <c r="H44" i="22"/>
  <c r="L43" i="22"/>
  <c r="J43" i="22"/>
  <c r="H43" i="22"/>
  <c r="L42" i="22"/>
  <c r="J42" i="22"/>
  <c r="H42" i="22"/>
  <c r="L41" i="22"/>
  <c r="J41" i="22"/>
  <c r="H41" i="22"/>
  <c r="L40" i="22"/>
  <c r="J40" i="22"/>
  <c r="H40" i="22"/>
  <c r="L39" i="22"/>
  <c r="J39" i="22"/>
  <c r="H39" i="22"/>
  <c r="L38" i="22"/>
  <c r="J38" i="22"/>
  <c r="H38" i="22"/>
  <c r="L37" i="22"/>
  <c r="J37" i="22"/>
  <c r="H37" i="22"/>
  <c r="L36" i="22"/>
  <c r="J36" i="22"/>
  <c r="H36" i="22"/>
  <c r="K62" i="13"/>
  <c r="I62" i="13"/>
  <c r="G62" i="13"/>
  <c r="K61" i="13"/>
  <c r="I61" i="13"/>
  <c r="G61" i="13"/>
  <c r="K60" i="13"/>
  <c r="I60" i="13"/>
  <c r="G60" i="13"/>
  <c r="K59" i="13"/>
  <c r="I59" i="13"/>
  <c r="G59" i="13"/>
  <c r="K58" i="13"/>
  <c r="I58" i="13"/>
  <c r="G58" i="13"/>
  <c r="K57" i="13"/>
  <c r="I57" i="13"/>
  <c r="G57" i="13"/>
  <c r="K56" i="13"/>
  <c r="I56" i="13"/>
  <c r="G56" i="13"/>
  <c r="K55" i="13"/>
  <c r="I55" i="13"/>
  <c r="G55" i="13"/>
  <c r="K54" i="13"/>
  <c r="I54" i="13"/>
  <c r="G54" i="13"/>
  <c r="K53" i="13"/>
  <c r="I53" i="13"/>
  <c r="G53" i="13"/>
  <c r="K52" i="13"/>
  <c r="I52" i="13"/>
  <c r="G52" i="13"/>
  <c r="K51" i="13"/>
  <c r="I51" i="13"/>
  <c r="G51" i="13"/>
  <c r="K50" i="13"/>
  <c r="I50" i="13"/>
  <c r="G50" i="13"/>
  <c r="K49" i="13"/>
  <c r="I49" i="13"/>
  <c r="G49" i="13"/>
  <c r="K48" i="13"/>
  <c r="I48" i="13"/>
  <c r="G48" i="13"/>
  <c r="K47" i="13"/>
  <c r="I47" i="13"/>
  <c r="G47" i="13"/>
  <c r="K46" i="13"/>
  <c r="I46" i="13"/>
  <c r="G46" i="13"/>
  <c r="K45" i="13"/>
  <c r="I45" i="13"/>
  <c r="G45" i="13"/>
  <c r="K44" i="13"/>
  <c r="I44" i="13"/>
  <c r="G44" i="13"/>
  <c r="K43" i="13"/>
  <c r="I43" i="13"/>
  <c r="G43" i="13"/>
  <c r="K42" i="13"/>
  <c r="I42" i="13"/>
  <c r="G42" i="13"/>
  <c r="K41" i="13"/>
  <c r="I41" i="13"/>
  <c r="G41" i="13"/>
  <c r="K40" i="13"/>
  <c r="I40" i="13"/>
  <c r="G40" i="13"/>
  <c r="M98" i="1"/>
  <c r="K98" i="1"/>
  <c r="M88" i="1"/>
  <c r="K88" i="1"/>
  <c r="M80" i="1"/>
  <c r="K80" i="1"/>
  <c r="M100" i="1"/>
  <c r="K100" i="1"/>
  <c r="M79" i="1"/>
  <c r="K79" i="1"/>
  <c r="M86" i="1"/>
  <c r="K86" i="1"/>
  <c r="M93" i="1"/>
  <c r="K93" i="1"/>
  <c r="M92" i="1"/>
  <c r="K92" i="1"/>
  <c r="M10" i="1"/>
  <c r="K10" i="1"/>
  <c r="M99" i="1"/>
  <c r="K99" i="1"/>
  <c r="M89" i="1"/>
  <c r="K89" i="1"/>
  <c r="M82" i="1"/>
  <c r="K82" i="1"/>
  <c r="M81" i="1"/>
  <c r="K81" i="1"/>
  <c r="M44" i="1"/>
  <c r="K44" i="1"/>
  <c r="M18" i="1"/>
  <c r="K18" i="1"/>
  <c r="M94" i="1"/>
  <c r="K94" i="1"/>
  <c r="M91" i="1"/>
  <c r="K91" i="1"/>
  <c r="M84" i="1"/>
  <c r="K84" i="1"/>
  <c r="M90" i="1"/>
  <c r="K90" i="1"/>
  <c r="M96" i="1"/>
  <c r="K96" i="1"/>
  <c r="M19" i="1"/>
  <c r="K19" i="1"/>
  <c r="M6" i="1"/>
  <c r="K6" i="1"/>
  <c r="M50" i="1"/>
  <c r="K50" i="1"/>
  <c r="M47" i="1"/>
  <c r="K47" i="1"/>
  <c r="M22" i="1"/>
  <c r="K22" i="1"/>
  <c r="M95" i="1"/>
  <c r="K95" i="1"/>
  <c r="M101" i="1"/>
  <c r="K101" i="1"/>
  <c r="M46" i="1"/>
  <c r="K46" i="1"/>
  <c r="M9" i="1"/>
  <c r="K9" i="1"/>
  <c r="M83" i="1"/>
  <c r="K83" i="1"/>
  <c r="M97" i="1"/>
  <c r="K97" i="1"/>
  <c r="M28" i="1"/>
  <c r="K28" i="1"/>
  <c r="M87" i="1"/>
  <c r="K87" i="1"/>
  <c r="M57" i="1"/>
  <c r="K57" i="1"/>
  <c r="M20" i="1"/>
  <c r="K20" i="1"/>
  <c r="M29" i="1"/>
  <c r="K29" i="1"/>
  <c r="M85" i="1"/>
  <c r="K85" i="1"/>
  <c r="M37" i="1"/>
  <c r="K37" i="1"/>
  <c r="M78" i="1"/>
  <c r="K78" i="1"/>
  <c r="M30" i="1"/>
  <c r="K30" i="1"/>
  <c r="M45" i="1"/>
  <c r="K45" i="1"/>
  <c r="L5" i="43"/>
  <c r="N5" i="43"/>
  <c r="M13" i="43"/>
  <c r="N13" i="43" s="1"/>
  <c r="L6" i="43"/>
  <c r="N6" i="43"/>
  <c r="M23" i="43"/>
  <c r="L7" i="43"/>
  <c r="N7" i="43"/>
  <c r="M24" i="43"/>
  <c r="L24" i="43" s="1"/>
  <c r="L8" i="43"/>
  <c r="N8" i="43"/>
  <c r="M16" i="43" s="1"/>
  <c r="M25" i="43"/>
  <c r="N25" i="43" s="1"/>
  <c r="L9" i="43"/>
  <c r="N9" i="43"/>
  <c r="M26" i="43"/>
  <c r="L10" i="43"/>
  <c r="N10" i="43"/>
  <c r="M27" i="43" s="1"/>
  <c r="L11" i="43"/>
  <c r="N11" i="43"/>
  <c r="M19" i="43" s="1"/>
  <c r="M15" i="43"/>
  <c r="N15" i="43"/>
  <c r="M17" i="43"/>
  <c r="L17" i="43"/>
  <c r="M21" i="43"/>
  <c r="L26" i="43"/>
  <c r="N26" i="43"/>
  <c r="M22" i="43"/>
  <c r="N22" i="43" s="1"/>
  <c r="N17" i="43"/>
  <c r="L13" i="43"/>
  <c r="L23" i="43"/>
  <c r="N23" i="43"/>
  <c r="L15" i="43"/>
  <c r="M14" i="43"/>
  <c r="L14" i="43" s="1"/>
  <c r="N14" i="43"/>
  <c r="K9" i="27"/>
  <c r="M9" i="27"/>
  <c r="O9" i="27"/>
  <c r="N22" i="19"/>
  <c r="J22" i="19"/>
  <c r="L22" i="19"/>
  <c r="K10" i="39"/>
  <c r="K4" i="39"/>
  <c r="E4" i="39" s="1"/>
  <c r="I4" i="39"/>
  <c r="K3" i="39"/>
  <c r="E3" i="39" s="1"/>
  <c r="I3" i="39"/>
  <c r="I17" i="39"/>
  <c r="K17" i="39"/>
  <c r="E17" i="39"/>
  <c r="I18" i="39"/>
  <c r="K18" i="39"/>
  <c r="E18" i="39"/>
  <c r="I19" i="39"/>
  <c r="K19" i="39"/>
  <c r="E19" i="39"/>
  <c r="I20" i="39"/>
  <c r="K20" i="39"/>
  <c r="E20" i="39" s="1"/>
  <c r="I21" i="39"/>
  <c r="K21" i="39"/>
  <c r="E21" i="39" s="1"/>
  <c r="I22" i="39"/>
  <c r="K22" i="39"/>
  <c r="E22" i="39" s="1"/>
  <c r="I23" i="39"/>
  <c r="K23" i="39"/>
  <c r="E23" i="39"/>
  <c r="I24" i="39"/>
  <c r="K24" i="39"/>
  <c r="E24" i="39"/>
  <c r="K6" i="39"/>
  <c r="E6" i="39" s="1"/>
  <c r="K7" i="39"/>
  <c r="E7" i="39" s="1"/>
  <c r="K8" i="39"/>
  <c r="E8" i="39"/>
  <c r="K9" i="39"/>
  <c r="E9" i="39"/>
  <c r="E10" i="39"/>
  <c r="K11" i="39"/>
  <c r="E11" i="39"/>
  <c r="K12" i="39"/>
  <c r="E12" i="39"/>
  <c r="K13" i="39"/>
  <c r="E13" i="39" s="1"/>
  <c r="K14" i="39"/>
  <c r="E14" i="39"/>
  <c r="K15" i="39"/>
  <c r="E15" i="39"/>
  <c r="K16" i="39"/>
  <c r="E16" i="39"/>
  <c r="K5" i="39"/>
  <c r="E5" i="39" s="1"/>
  <c r="I6" i="39"/>
  <c r="I7" i="39"/>
  <c r="I8" i="39"/>
  <c r="I9" i="39"/>
  <c r="I10" i="39"/>
  <c r="I11" i="39"/>
  <c r="I12" i="39"/>
  <c r="I13" i="39"/>
  <c r="I14" i="39"/>
  <c r="I15" i="39"/>
  <c r="I16" i="39"/>
  <c r="I5" i="39"/>
  <c r="M3" i="27"/>
  <c r="I9" i="30"/>
  <c r="K9" i="30"/>
  <c r="M9" i="30"/>
  <c r="I3" i="30"/>
  <c r="K3" i="30"/>
  <c r="M3" i="30"/>
  <c r="I4" i="30"/>
  <c r="K4" i="30"/>
  <c r="M4" i="30"/>
  <c r="Q5" i="38"/>
  <c r="O5" i="38"/>
  <c r="M5" i="38"/>
  <c r="K24" i="1"/>
  <c r="M24" i="1"/>
  <c r="M51" i="1"/>
  <c r="M52" i="1"/>
  <c r="M8" i="1"/>
  <c r="K51" i="1"/>
  <c r="K52" i="1"/>
  <c r="K8" i="1"/>
  <c r="K109" i="1"/>
  <c r="O11" i="27"/>
  <c r="M11" i="27"/>
  <c r="K11" i="27"/>
  <c r="M109" i="1"/>
  <c r="Q4" i="38"/>
  <c r="O4" i="38"/>
  <c r="M4" i="38"/>
  <c r="Q3" i="38"/>
  <c r="O3" i="38"/>
  <c r="M3" i="38"/>
  <c r="L31" i="22"/>
  <c r="J31" i="22"/>
  <c r="H31" i="22"/>
  <c r="H30" i="22"/>
  <c r="J32" i="22"/>
  <c r="L32" i="22"/>
  <c r="K38" i="13"/>
  <c r="I38" i="13"/>
  <c r="G38" i="13"/>
  <c r="H33" i="22"/>
  <c r="J33" i="22"/>
  <c r="L33" i="22"/>
  <c r="H34" i="22"/>
  <c r="J34" i="22"/>
  <c r="L34" i="22"/>
  <c r="M8" i="27"/>
  <c r="N21" i="19"/>
  <c r="J2" i="19"/>
  <c r="N3" i="19"/>
  <c r="N4" i="19"/>
  <c r="N5" i="19"/>
  <c r="N6" i="19"/>
  <c r="N7" i="19"/>
  <c r="N8" i="19"/>
  <c r="N9" i="19"/>
  <c r="N10" i="19"/>
  <c r="N11" i="19"/>
  <c r="N12" i="19"/>
  <c r="N13" i="19"/>
  <c r="N14" i="19"/>
  <c r="N15" i="19"/>
  <c r="N16" i="19"/>
  <c r="N17" i="19"/>
  <c r="N18" i="19"/>
  <c r="N19" i="19"/>
  <c r="N20" i="19"/>
  <c r="N2" i="19"/>
  <c r="J12" i="19"/>
  <c r="L12" i="19"/>
  <c r="J20" i="19"/>
  <c r="L20" i="19"/>
  <c r="J18" i="19"/>
  <c r="L18" i="19"/>
  <c r="J6" i="19"/>
  <c r="L6" i="19"/>
  <c r="J16" i="19"/>
  <c r="L16" i="19"/>
  <c r="J15" i="19"/>
  <c r="L15" i="19"/>
  <c r="J11" i="19"/>
  <c r="L11" i="19"/>
  <c r="J9" i="19"/>
  <c r="L9" i="19"/>
  <c r="J7" i="19"/>
  <c r="L7" i="19"/>
  <c r="J13" i="19"/>
  <c r="L13" i="19"/>
  <c r="J10" i="19"/>
  <c r="L10" i="19"/>
  <c r="J14" i="19"/>
  <c r="L14" i="19"/>
  <c r="J5" i="19"/>
  <c r="L5" i="19"/>
  <c r="J4" i="19"/>
  <c r="L4" i="19"/>
  <c r="J19" i="19"/>
  <c r="J8" i="19"/>
  <c r="L8" i="19"/>
  <c r="J17" i="19"/>
  <c r="L17" i="19"/>
  <c r="J3" i="19"/>
  <c r="L3" i="19"/>
  <c r="L2" i="19"/>
  <c r="J21" i="19"/>
  <c r="L21" i="19"/>
  <c r="J22" i="22"/>
  <c r="L22" i="22"/>
  <c r="H22" i="22"/>
  <c r="L16" i="22"/>
  <c r="J16" i="22"/>
  <c r="H16" i="22"/>
  <c r="L15" i="22"/>
  <c r="J15" i="22"/>
  <c r="H15" i="22"/>
  <c r="L14" i="22"/>
  <c r="J14" i="22"/>
  <c r="H14" i="22"/>
  <c r="L13" i="22"/>
  <c r="J13" i="22"/>
  <c r="H13" i="22"/>
  <c r="L12" i="22"/>
  <c r="J12" i="22"/>
  <c r="H12" i="22"/>
  <c r="L11" i="22"/>
  <c r="J11" i="22"/>
  <c r="H11" i="22"/>
  <c r="L10" i="22"/>
  <c r="J10" i="22"/>
  <c r="H10" i="22"/>
  <c r="L9" i="22"/>
  <c r="J9" i="22"/>
  <c r="H9" i="22"/>
  <c r="L8" i="22"/>
  <c r="J8" i="22"/>
  <c r="H8" i="22"/>
  <c r="L7" i="22"/>
  <c r="J7" i="22"/>
  <c r="H7" i="22"/>
  <c r="L6" i="22"/>
  <c r="J6" i="22"/>
  <c r="H6" i="22"/>
  <c r="L5" i="22"/>
  <c r="J5" i="22"/>
  <c r="H5" i="22"/>
  <c r="L4" i="22"/>
  <c r="J4" i="22"/>
  <c r="H4" i="22"/>
  <c r="L3" i="22"/>
  <c r="J3" i="22"/>
  <c r="H3" i="22"/>
  <c r="K39" i="13"/>
  <c r="I39" i="13"/>
  <c r="G39" i="13"/>
  <c r="K37" i="13"/>
  <c r="I37" i="13"/>
  <c r="G37" i="13"/>
  <c r="K36" i="13"/>
  <c r="I36" i="13"/>
  <c r="G36" i="13"/>
  <c r="K35" i="13"/>
  <c r="I35" i="13"/>
  <c r="G35" i="13"/>
  <c r="K34" i="13"/>
  <c r="I34" i="13"/>
  <c r="G34" i="13"/>
  <c r="K33" i="13"/>
  <c r="I33" i="13"/>
  <c r="G33" i="13"/>
  <c r="K32" i="13"/>
  <c r="I32" i="13"/>
  <c r="G32" i="13"/>
  <c r="K31" i="13"/>
  <c r="I31" i="13"/>
  <c r="G31" i="13"/>
  <c r="K30" i="13"/>
  <c r="I30" i="13"/>
  <c r="G30" i="13"/>
  <c r="K29" i="13"/>
  <c r="I29" i="13"/>
  <c r="G29" i="13"/>
  <c r="K28" i="13"/>
  <c r="I28" i="13"/>
  <c r="G28" i="13"/>
  <c r="K27" i="13"/>
  <c r="I27" i="13"/>
  <c r="G27" i="13"/>
  <c r="K26" i="13"/>
  <c r="I26" i="13"/>
  <c r="G26" i="13"/>
  <c r="K25" i="13"/>
  <c r="I25" i="13"/>
  <c r="G25" i="13"/>
  <c r="K24" i="13"/>
  <c r="I24" i="13"/>
  <c r="G24" i="13"/>
  <c r="K23" i="13"/>
  <c r="I23" i="13"/>
  <c r="G23" i="13"/>
  <c r="K22" i="13"/>
  <c r="I22" i="13"/>
  <c r="G22" i="13"/>
  <c r="K21" i="13"/>
  <c r="I21" i="13"/>
  <c r="G21" i="13"/>
  <c r="M22" i="30"/>
  <c r="K22" i="30"/>
  <c r="I22" i="30"/>
  <c r="M21" i="30"/>
  <c r="K21" i="30"/>
  <c r="I21" i="30"/>
  <c r="M20" i="30"/>
  <c r="K20" i="30"/>
  <c r="I20" i="30"/>
  <c r="M11" i="30"/>
  <c r="K11" i="30"/>
  <c r="I11" i="30"/>
  <c r="M10" i="30"/>
  <c r="K10" i="30"/>
  <c r="I10" i="30"/>
  <c r="M8" i="30"/>
  <c r="K8" i="30"/>
  <c r="I8" i="30"/>
  <c r="M7" i="30"/>
  <c r="K7" i="30"/>
  <c r="I7" i="30"/>
  <c r="M6" i="30"/>
  <c r="K6" i="30"/>
  <c r="I6" i="30"/>
  <c r="M5" i="30"/>
  <c r="K5" i="30"/>
  <c r="I5" i="30"/>
  <c r="M17" i="1"/>
  <c r="K4" i="1"/>
  <c r="M4" i="1"/>
  <c r="K33" i="1"/>
  <c r="M33" i="1"/>
  <c r="O33" i="1"/>
  <c r="H33" i="1" s="1"/>
  <c r="M11" i="1"/>
  <c r="O11" i="1"/>
  <c r="H11" i="1" s="1"/>
  <c r="M32" i="1"/>
  <c r="K32" i="1"/>
  <c r="K17" i="1"/>
  <c r="M38" i="1"/>
  <c r="K38" i="1"/>
  <c r="M3" i="1"/>
  <c r="K3" i="1"/>
  <c r="M27" i="1"/>
  <c r="K27" i="1"/>
  <c r="M36" i="1"/>
  <c r="K36" i="1"/>
  <c r="M26" i="1"/>
  <c r="K26" i="1"/>
  <c r="M7" i="1"/>
  <c r="K7" i="1"/>
  <c r="M40" i="1"/>
  <c r="K40" i="1"/>
  <c r="M5" i="1"/>
  <c r="K5" i="1"/>
  <c r="M39" i="1"/>
  <c r="K39" i="1"/>
  <c r="M55" i="1"/>
  <c r="K55" i="1"/>
  <c r="M16" i="1"/>
  <c r="K16" i="1"/>
  <c r="M108" i="1"/>
  <c r="K108" i="1"/>
  <c r="M41" i="1"/>
  <c r="K41" i="1"/>
  <c r="M23" i="1"/>
  <c r="K23" i="1"/>
  <c r="M12" i="1"/>
  <c r="K12" i="1"/>
  <c r="M21" i="1"/>
  <c r="K21" i="1"/>
  <c r="O3" i="27"/>
  <c r="K3" i="27"/>
  <c r="O12" i="27"/>
  <c r="M12" i="27"/>
  <c r="K12" i="27"/>
  <c r="O25" i="27"/>
  <c r="M25" i="27"/>
  <c r="K25" i="27"/>
  <c r="O17" i="27"/>
  <c r="M17" i="27"/>
  <c r="K17" i="27"/>
  <c r="O8" i="27"/>
  <c r="K8" i="27"/>
  <c r="O15" i="27"/>
  <c r="M15" i="27"/>
  <c r="K15" i="27"/>
  <c r="O6" i="27"/>
  <c r="M6" i="27"/>
  <c r="K6" i="27"/>
  <c r="O19" i="27"/>
  <c r="M19" i="27"/>
  <c r="K19" i="27"/>
  <c r="O10" i="27"/>
  <c r="M10" i="27"/>
  <c r="K10" i="27"/>
  <c r="O13" i="27"/>
  <c r="M13" i="27"/>
  <c r="K13" i="27"/>
  <c r="O24" i="27"/>
  <c r="M24" i="27"/>
  <c r="K24" i="27"/>
  <c r="O7" i="27"/>
  <c r="M7" i="27"/>
  <c r="K7" i="27"/>
  <c r="O20" i="27"/>
  <c r="M20" i="27"/>
  <c r="K20" i="27"/>
  <c r="O21" i="27"/>
  <c r="M21" i="27"/>
  <c r="K21" i="27"/>
  <c r="O22" i="27"/>
  <c r="M22" i="27"/>
  <c r="K22" i="27"/>
  <c r="O5" i="27"/>
  <c r="M5" i="27"/>
  <c r="K5" i="27"/>
  <c r="O23" i="27"/>
  <c r="M23" i="27"/>
  <c r="K23" i="27"/>
  <c r="O18" i="27"/>
  <c r="M18" i="27"/>
  <c r="K18" i="27"/>
  <c r="O4" i="27"/>
  <c r="M4" i="27"/>
  <c r="K4" i="27"/>
  <c r="O16" i="27"/>
  <c r="M16" i="27"/>
  <c r="K16" i="27"/>
  <c r="O14" i="27"/>
  <c r="M14" i="27"/>
  <c r="K14" i="27"/>
  <c r="L35" i="22"/>
  <c r="J35" i="22"/>
  <c r="H35" i="22"/>
  <c r="H32" i="22"/>
  <c r="L30" i="22"/>
  <c r="J30" i="22"/>
  <c r="L29" i="22"/>
  <c r="J29" i="22"/>
  <c r="H29" i="22"/>
  <c r="L28" i="22"/>
  <c r="J28" i="22"/>
  <c r="H28" i="22"/>
  <c r="L27" i="22"/>
  <c r="J27" i="22"/>
  <c r="H27" i="22"/>
  <c r="L26" i="22"/>
  <c r="J26" i="22"/>
  <c r="H26" i="22"/>
  <c r="L25" i="22"/>
  <c r="J25" i="22"/>
  <c r="H25" i="22"/>
  <c r="L24" i="22"/>
  <c r="J24" i="22"/>
  <c r="H24" i="22"/>
  <c r="L23" i="22"/>
  <c r="J23" i="22"/>
  <c r="H23" i="22"/>
  <c r="L21" i="22"/>
  <c r="J21" i="22"/>
  <c r="H21" i="22"/>
  <c r="L20" i="22"/>
  <c r="J20" i="22"/>
  <c r="H20" i="22"/>
  <c r="L19" i="22"/>
  <c r="J19" i="22"/>
  <c r="H19" i="22"/>
  <c r="L18" i="22"/>
  <c r="J18" i="22"/>
  <c r="H18" i="22"/>
  <c r="L17" i="22"/>
  <c r="J17" i="22"/>
  <c r="H17" i="22"/>
  <c r="G20" i="13"/>
  <c r="I20" i="13"/>
  <c r="K20" i="13"/>
  <c r="G19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3" i="13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I3" i="13"/>
  <c r="G3" i="13"/>
  <c r="K104" i="1"/>
  <c r="M15" i="1"/>
  <c r="M54" i="1"/>
  <c r="M48" i="1"/>
  <c r="M14" i="1"/>
  <c r="M31" i="1"/>
  <c r="M103" i="1"/>
  <c r="M25" i="1"/>
  <c r="M104" i="1"/>
  <c r="M35" i="1"/>
  <c r="M102" i="1"/>
  <c r="K54" i="1"/>
  <c r="K35" i="1"/>
  <c r="K48" i="1"/>
  <c r="K14" i="1"/>
  <c r="K31" i="1"/>
  <c r="K103" i="1"/>
  <c r="K25" i="1"/>
  <c r="K105" i="1"/>
  <c r="K15" i="1"/>
  <c r="K102" i="1"/>
  <c r="L27" i="43" l="1"/>
  <c r="N27" i="43"/>
  <c r="L19" i="43"/>
  <c r="N19" i="43"/>
  <c r="N16" i="43"/>
  <c r="L16" i="43"/>
  <c r="M28" i="43"/>
  <c r="L22" i="43"/>
  <c r="N24" i="43"/>
  <c r="M18" i="43"/>
  <c r="L25" i="43"/>
  <c r="E8" i="46"/>
  <c r="E17" i="46"/>
  <c r="E7" i="46"/>
  <c r="E15" i="46"/>
  <c r="E2" i="46"/>
  <c r="E5" i="46"/>
  <c r="E13" i="46"/>
  <c r="E21" i="46"/>
  <c r="E12" i="46"/>
  <c r="E20" i="46"/>
  <c r="E10" i="46"/>
  <c r="E16" i="46"/>
  <c r="E18" i="46"/>
  <c r="E4" i="46"/>
  <c r="E9" i="46"/>
  <c r="E19" i="46"/>
  <c r="E3" i="46"/>
  <c r="E6" i="46"/>
  <c r="E11" i="46"/>
  <c r="E14" i="46"/>
  <c r="E22" i="46"/>
  <c r="N28" i="43" l="1"/>
  <c r="L28" i="43"/>
  <c r="N18" i="43"/>
  <c r="L18" i="43"/>
</calcChain>
</file>

<file path=xl/sharedStrings.xml><?xml version="1.0" encoding="utf-8"?>
<sst xmlns="http://schemas.openxmlformats.org/spreadsheetml/2006/main" count="826" uniqueCount="511">
  <si>
    <t>Opening (NA)</t>
  </si>
  <si>
    <t>Worldwide Gross</t>
  </si>
  <si>
    <t>Release Date</t>
  </si>
  <si>
    <t>Zootopia</t>
  </si>
  <si>
    <t>Moana</t>
  </si>
  <si>
    <t>Inside Out</t>
  </si>
  <si>
    <t>The Good Dinosaur</t>
  </si>
  <si>
    <t>Finding Dory</t>
  </si>
  <si>
    <t>Domestic Gross</t>
  </si>
  <si>
    <t>Budget</t>
  </si>
  <si>
    <t>The Finest Hours</t>
  </si>
  <si>
    <t>The Jungle Book</t>
  </si>
  <si>
    <t>Captain America: Civil War</t>
  </si>
  <si>
    <t>Alice Through the Looking Glass</t>
  </si>
  <si>
    <t>The BFG</t>
  </si>
  <si>
    <t>Rank</t>
  </si>
  <si>
    <t>Pete's Dragon</t>
  </si>
  <si>
    <t>Doctor Strange</t>
  </si>
  <si>
    <t>Rogue One: A Star Wars Story</t>
  </si>
  <si>
    <t>Film</t>
  </si>
  <si>
    <t>Multiplier</t>
  </si>
  <si>
    <t>Overseas Gross</t>
  </si>
  <si>
    <t>Beauty and the Beast</t>
  </si>
  <si>
    <t>Guardians of the Galaxy Vol. 2</t>
  </si>
  <si>
    <t>Pirates of the Cariibean: Dead Men Tell No Tales</t>
  </si>
  <si>
    <t>Cars 3</t>
  </si>
  <si>
    <t>Thor: Ragnarok</t>
  </si>
  <si>
    <t>Coco</t>
  </si>
  <si>
    <t>Mary Poppins Returns</t>
  </si>
  <si>
    <t>Ant-Man and the Wasp</t>
  </si>
  <si>
    <t>Avengers: Infinity War</t>
  </si>
  <si>
    <t>Close Date</t>
  </si>
  <si>
    <t>A Wrinkle in Time</t>
  </si>
  <si>
    <t>Toy Story 4</t>
  </si>
  <si>
    <t>Captain Marvel</t>
  </si>
  <si>
    <t>Black Panther</t>
  </si>
  <si>
    <t>Star Wars: The Last Jedi</t>
  </si>
  <si>
    <t>% of Gross</t>
  </si>
  <si>
    <t>Aladdin</t>
  </si>
  <si>
    <t>The Lion King</t>
  </si>
  <si>
    <t>Wonder Woman</t>
  </si>
  <si>
    <t>Justice League</t>
  </si>
  <si>
    <t>Dumbo</t>
  </si>
  <si>
    <t>The Nutcracker and the Four Realms</t>
  </si>
  <si>
    <t>Warner Bros (2017)</t>
  </si>
  <si>
    <t>The LEGO Batman Movie</t>
  </si>
  <si>
    <t>Fist Fight</t>
  </si>
  <si>
    <t>Kong: Skull Island</t>
  </si>
  <si>
    <t>CHiPs</t>
  </si>
  <si>
    <t>Going in Style</t>
  </si>
  <si>
    <t>Unforgettable</t>
  </si>
  <si>
    <t>King Arthur: Legend of the Sword</t>
  </si>
  <si>
    <t>Everything, Everything</t>
  </si>
  <si>
    <t>The House</t>
  </si>
  <si>
    <t>Dunkirk</t>
  </si>
  <si>
    <t>Annabelle: Creation</t>
  </si>
  <si>
    <t>It</t>
  </si>
  <si>
    <t>The LEGO Ninjago Movie</t>
  </si>
  <si>
    <t>Blade Runner 2049</t>
  </si>
  <si>
    <t>Geostorm</t>
  </si>
  <si>
    <t>Pitch Perfect 3</t>
  </si>
  <si>
    <t>The Snowman</t>
  </si>
  <si>
    <t>American Made</t>
  </si>
  <si>
    <t>Girls Trip</t>
  </si>
  <si>
    <t>Despicable Me 3</t>
  </si>
  <si>
    <t>The Mummy</t>
  </si>
  <si>
    <t>The Fate of the Furious</t>
  </si>
  <si>
    <t>Get Out</t>
  </si>
  <si>
    <t>The Great Wall</t>
  </si>
  <si>
    <t>Fifty Shades Darker</t>
  </si>
  <si>
    <t>A Dog's Purpose</t>
  </si>
  <si>
    <t>Split</t>
  </si>
  <si>
    <t>Toy Story</t>
  </si>
  <si>
    <t>A Bug's Life</t>
  </si>
  <si>
    <t>Toy Story 2</t>
  </si>
  <si>
    <t>Finding Nemo</t>
  </si>
  <si>
    <t>The Incredibles</t>
  </si>
  <si>
    <t>Cars</t>
  </si>
  <si>
    <t>Ratatouille</t>
  </si>
  <si>
    <t>WALL-E</t>
  </si>
  <si>
    <t>Up</t>
  </si>
  <si>
    <t>Toy Story 3</t>
  </si>
  <si>
    <t>Cars 2</t>
  </si>
  <si>
    <t>Brave</t>
  </si>
  <si>
    <t>Christopher Robin</t>
  </si>
  <si>
    <t>IMDb</t>
  </si>
  <si>
    <t>Happy Death Day</t>
  </si>
  <si>
    <t>Thank You for Your Service</t>
  </si>
  <si>
    <t>Solo: A Star Wars Story</t>
  </si>
  <si>
    <t>Father Figures</t>
  </si>
  <si>
    <t>Incredibles 2</t>
  </si>
  <si>
    <t>Own R</t>
  </si>
  <si>
    <t>RT (%)</t>
  </si>
  <si>
    <t>RT (µ)</t>
  </si>
  <si>
    <t>Monsters, Inc.</t>
  </si>
  <si>
    <t>Insidious: The Last Key</t>
  </si>
  <si>
    <t>Fifty Shades Freed</t>
  </si>
  <si>
    <t>Pacific Rim Uprising</t>
  </si>
  <si>
    <t>Blockers</t>
  </si>
  <si>
    <t>Truth or Dare</t>
  </si>
  <si>
    <t>Jurassic World: The Fallen Kingdom</t>
  </si>
  <si>
    <t>Skyscraper</t>
  </si>
  <si>
    <t>Mamma Mia: Here We Go Again!</t>
  </si>
  <si>
    <t>The House With A Clock In Its Walls</t>
  </si>
  <si>
    <t>Night School</t>
  </si>
  <si>
    <t>First Man</t>
  </si>
  <si>
    <t>Halloween</t>
  </si>
  <si>
    <t>Dr. Seuss' The Grinch</t>
  </si>
  <si>
    <t>The Women of Marwen</t>
  </si>
  <si>
    <t>Mortal Engines</t>
  </si>
  <si>
    <t>Paddington 2</t>
  </si>
  <si>
    <t>12 Strong</t>
  </si>
  <si>
    <t>The 15:17 to Paris</t>
  </si>
  <si>
    <t>Game Night</t>
  </si>
  <si>
    <t>Tomb Raider</t>
  </si>
  <si>
    <t>Ready Player One</t>
  </si>
  <si>
    <t>Rampage</t>
  </si>
  <si>
    <t>Life of the Party</t>
  </si>
  <si>
    <t>Ocean's 8</t>
  </si>
  <si>
    <t>Tag</t>
  </si>
  <si>
    <t>The Nun</t>
  </si>
  <si>
    <t>Teen Titans Go! To The Movies</t>
  </si>
  <si>
    <t>The Meg</t>
  </si>
  <si>
    <t>Crazy Rich Asians</t>
  </si>
  <si>
    <t>Smallfoot</t>
  </si>
  <si>
    <t>Fantastic Beasts: The Crimes of Grindelwald</t>
  </si>
  <si>
    <t>Aquaman</t>
  </si>
  <si>
    <t>MC %</t>
  </si>
  <si>
    <t>Monsters University</t>
  </si>
  <si>
    <t>Isn't It Romantic</t>
  </si>
  <si>
    <t>Shazam!</t>
  </si>
  <si>
    <t>Shaft</t>
  </si>
  <si>
    <t>Iron Man</t>
  </si>
  <si>
    <t>The Incredible Hulk</t>
  </si>
  <si>
    <t>Iron Man 2</t>
  </si>
  <si>
    <t>Thor</t>
  </si>
  <si>
    <t>Captain America: The First Avenger</t>
  </si>
  <si>
    <t>The Avengers</t>
  </si>
  <si>
    <t>Iron Man 3</t>
  </si>
  <si>
    <t>Thor: The Dark World</t>
  </si>
  <si>
    <t>Captain America: The Winter Soldier</t>
  </si>
  <si>
    <t>Guardians of the Galaxy</t>
  </si>
  <si>
    <t>Avengers: Age of Ultron</t>
  </si>
  <si>
    <t>Ant-Man</t>
  </si>
  <si>
    <t>Spider-Man: Homecoming</t>
  </si>
  <si>
    <t>MCU</t>
  </si>
  <si>
    <t>Tangled</t>
  </si>
  <si>
    <t>Wreck-It Ralph</t>
  </si>
  <si>
    <t>Frozen</t>
  </si>
  <si>
    <t>Big Hero 6</t>
  </si>
  <si>
    <t>Cinderella</t>
  </si>
  <si>
    <t>Mulan</t>
  </si>
  <si>
    <t>The Princess and the Frog</t>
  </si>
  <si>
    <t>Winnie the Pooh</t>
  </si>
  <si>
    <t>MC (%)</t>
  </si>
  <si>
    <t>The Lone Ranger</t>
  </si>
  <si>
    <t>Planes</t>
  </si>
  <si>
    <t>The Fifth Estate</t>
  </si>
  <si>
    <t>Delivery Man</t>
  </si>
  <si>
    <t>Saving Mr. Banks</t>
  </si>
  <si>
    <t>The Wind Rises</t>
  </si>
  <si>
    <t>Need for Speed</t>
  </si>
  <si>
    <t>Muppets Most Wanted</t>
  </si>
  <si>
    <t>Million Dollar Arm</t>
  </si>
  <si>
    <t>Maleficent</t>
  </si>
  <si>
    <t>Planes: Fire &amp; Rescue</t>
  </si>
  <si>
    <t>The Hundred-Foot Journey</t>
  </si>
  <si>
    <t>Alexander and the Terrible, Horrible, No Good, Very Bad Day</t>
  </si>
  <si>
    <t>Into the Woods</t>
  </si>
  <si>
    <t>The Secret World of Arriety</t>
  </si>
  <si>
    <t>John Carter</t>
  </si>
  <si>
    <t>People Like Us</t>
  </si>
  <si>
    <t>The Odd Life of Timothy Green</t>
  </si>
  <si>
    <t>Frankenweenie</t>
  </si>
  <si>
    <t>Lincoln</t>
  </si>
  <si>
    <t>Strange Magic</t>
  </si>
  <si>
    <t>McFarland, USA</t>
  </si>
  <si>
    <t>Tomorrowland</t>
  </si>
  <si>
    <t>Bridge of Spies</t>
  </si>
  <si>
    <t>Star Wars: The Force Awakens</t>
  </si>
  <si>
    <t>Oz the Great and Powerful</t>
  </si>
  <si>
    <t>The Sun Is Also a Star</t>
  </si>
  <si>
    <t>The First Purge</t>
  </si>
  <si>
    <t>The Kitchen</t>
  </si>
  <si>
    <t>The Goldfinch</t>
  </si>
  <si>
    <t>Breaking In</t>
  </si>
  <si>
    <t>Glass</t>
  </si>
  <si>
    <t>Blumhouse</t>
  </si>
  <si>
    <t>The Voyage of Doctor Dolittle</t>
  </si>
  <si>
    <t>The Secret Life of Pets 2</t>
  </si>
  <si>
    <t>Little</t>
  </si>
  <si>
    <t>Will Packer Comedy</t>
  </si>
  <si>
    <t>Universal (2017-present)</t>
  </si>
  <si>
    <t>How To Train Your Dragon: The Hidden World</t>
  </si>
  <si>
    <t>How to Train Your Dragon</t>
  </si>
  <si>
    <t>How to Train Your Dragon 2</t>
  </si>
  <si>
    <t>Abominable</t>
  </si>
  <si>
    <t>The Croods 2</t>
  </si>
  <si>
    <t>Ralph Breaks the Internet</t>
  </si>
  <si>
    <t>Us</t>
  </si>
  <si>
    <t>A-</t>
  </si>
  <si>
    <t>A</t>
  </si>
  <si>
    <t>A+</t>
  </si>
  <si>
    <t>Green Book</t>
  </si>
  <si>
    <t>Onward</t>
  </si>
  <si>
    <t>The Mule</t>
  </si>
  <si>
    <t>Jungle Cruise</t>
  </si>
  <si>
    <t>Johnny English Strikes Again</t>
  </si>
  <si>
    <t>The LEGO Movie 2: The Second Part</t>
  </si>
  <si>
    <t>Godzilla: King of Monsters</t>
  </si>
  <si>
    <t>Happy Death Day 2U</t>
  </si>
  <si>
    <t>A Dog's Journey</t>
  </si>
  <si>
    <t>The Hunt</t>
  </si>
  <si>
    <t>Queen &amp; Slim</t>
  </si>
  <si>
    <t>Cats</t>
  </si>
  <si>
    <t>Last Christmas</t>
  </si>
  <si>
    <t>Fast &amp; Furious 9</t>
  </si>
  <si>
    <t>Trolls World Tour</t>
  </si>
  <si>
    <t>Candyman</t>
  </si>
  <si>
    <t>Event 1</t>
  </si>
  <si>
    <t>Event 2</t>
  </si>
  <si>
    <t>Bios</t>
  </si>
  <si>
    <t>Red Notice</t>
  </si>
  <si>
    <t>Sing 2</t>
  </si>
  <si>
    <t>Avengers: Endgame</t>
  </si>
  <si>
    <t>Total</t>
  </si>
  <si>
    <t>A Star Is Born</t>
  </si>
  <si>
    <t>How to Train Your Dragon 3</t>
  </si>
  <si>
    <t>Top (%)</t>
  </si>
  <si>
    <t>Top (µ)</t>
  </si>
  <si>
    <t>ROI</t>
  </si>
  <si>
    <t>Maleficent: Mistress of Evil</t>
  </si>
  <si>
    <t>Breakthrough</t>
  </si>
  <si>
    <t>Dark Phoenix</t>
  </si>
  <si>
    <t>Ad Astra</t>
  </si>
  <si>
    <t>Stuber</t>
  </si>
  <si>
    <t>New Mutants</t>
  </si>
  <si>
    <t>Spies in Disguise</t>
  </si>
  <si>
    <t>The Art of Racing in the Rain</t>
  </si>
  <si>
    <t>The Curse of La Llorona</t>
  </si>
  <si>
    <t>Annabelle Comes Home</t>
  </si>
  <si>
    <t>Blinded by the Light</t>
  </si>
  <si>
    <t>Joker</t>
  </si>
  <si>
    <t>Motherless Brooklyn</t>
  </si>
  <si>
    <t>Doctor Sleep</t>
  </si>
  <si>
    <t>The Good Liar</t>
  </si>
  <si>
    <t>The Woman in the Window</t>
  </si>
  <si>
    <t>Ford v Ferrari</t>
  </si>
  <si>
    <t>Call of the Wild</t>
  </si>
  <si>
    <t>Star Wars: The Rise of Skywalker</t>
  </si>
  <si>
    <t>Ma</t>
  </si>
  <si>
    <t>Yesterday</t>
  </si>
  <si>
    <t>Fast &amp; Furious Presents: Hobbs &amp; Shaw</t>
  </si>
  <si>
    <t>Underwater</t>
  </si>
  <si>
    <t>Ready or Not</t>
  </si>
  <si>
    <t>Untitled MCU</t>
  </si>
  <si>
    <t>Free Guy</t>
  </si>
  <si>
    <t>Death on the Nile</t>
  </si>
  <si>
    <t>Ron's Gone Wrong</t>
  </si>
  <si>
    <t>Untitled WDAS</t>
  </si>
  <si>
    <t>Cruella</t>
  </si>
  <si>
    <t>West Side Story</t>
  </si>
  <si>
    <t>Nimona</t>
  </si>
  <si>
    <t>Untitled Live Action</t>
  </si>
  <si>
    <t>Avatar 2</t>
  </si>
  <si>
    <t>Walt Disney (Post2019)</t>
  </si>
  <si>
    <t>Bob's Burgers: The Movie</t>
  </si>
  <si>
    <t>RT</t>
  </si>
  <si>
    <t>MC</t>
  </si>
  <si>
    <t>x OW</t>
  </si>
  <si>
    <t>DOM</t>
  </si>
  <si>
    <t>OS</t>
  </si>
  <si>
    <t>OW</t>
  </si>
  <si>
    <t>Minions: The Rise of Gru</t>
  </si>
  <si>
    <t>Untitled Indiana Jones</t>
  </si>
  <si>
    <t>Untitled Star Wars</t>
  </si>
  <si>
    <t>The Little Mermaid</t>
  </si>
  <si>
    <t>The Hunchback of Notre Dame</t>
  </si>
  <si>
    <t>It Chapter Two</t>
  </si>
  <si>
    <t>The Kid Who Would Be King</t>
  </si>
  <si>
    <t>Alita: Battle Angel</t>
  </si>
  <si>
    <t>Disney-Fox</t>
  </si>
  <si>
    <t>Frozen II</t>
  </si>
  <si>
    <t>100% (9.0)</t>
  </si>
  <si>
    <t>92% (7.9)</t>
  </si>
  <si>
    <t>100% (8.66)</t>
  </si>
  <si>
    <t>RT Critics</t>
  </si>
  <si>
    <t>96% (8.02)</t>
  </si>
  <si>
    <t>99% (8.69)</t>
  </si>
  <si>
    <t>97% (8.34)</t>
  </si>
  <si>
    <t>75% (6.92)</t>
  </si>
  <si>
    <t>96% (8.47)</t>
  </si>
  <si>
    <t>95% (8.54)</t>
  </si>
  <si>
    <t>98% (8.71)</t>
  </si>
  <si>
    <t>98% (8.87)</t>
  </si>
  <si>
    <t>38% (5.48)</t>
  </si>
  <si>
    <t>79% (6.95)</t>
  </si>
  <si>
    <t>80% (6.81)</t>
  </si>
  <si>
    <t>98% (8.92)</t>
  </si>
  <si>
    <t>76% (6.6)</t>
  </si>
  <si>
    <t>94% (7.65)</t>
  </si>
  <si>
    <t>70% (6.1)</t>
  </si>
  <si>
    <t>97% (8.31)</t>
  </si>
  <si>
    <t>94% (7.86)</t>
  </si>
  <si>
    <t>Soul</t>
  </si>
  <si>
    <t>Spider-Man: Far From Home</t>
  </si>
  <si>
    <t>Shang-Chi and the Legend of the Ten Rings</t>
  </si>
  <si>
    <t>Doctor Strange in the Multiverse of Madness</t>
  </si>
  <si>
    <t>Thor: Love and Thunder</t>
  </si>
  <si>
    <t>Pokémon Detective Pikachu</t>
  </si>
  <si>
    <t>Good Boys</t>
  </si>
  <si>
    <t>Raya and the Last Dragon</t>
  </si>
  <si>
    <t>97% (8.39)</t>
  </si>
  <si>
    <t>Meet the Robinsons</t>
  </si>
  <si>
    <t>Bolt</t>
  </si>
  <si>
    <t>CC</t>
  </si>
  <si>
    <t>RT Audience</t>
  </si>
  <si>
    <t>RT Top Critics</t>
  </si>
  <si>
    <t>74% (3.81)</t>
  </si>
  <si>
    <t>59% (6.04)</t>
  </si>
  <si>
    <t>74% (3.74)</t>
  </si>
  <si>
    <t>84% (6.7)</t>
  </si>
  <si>
    <t>85% (7.39)</t>
  </si>
  <si>
    <t>74% (3.8)</t>
  </si>
  <si>
    <t>78% (7.19)</t>
  </si>
  <si>
    <t>89% (7.49)</t>
  </si>
  <si>
    <t>87% (4.16)</t>
  </si>
  <si>
    <t>89% (7.28)</t>
  </si>
  <si>
    <t>91% (7.23)</t>
  </si>
  <si>
    <t>80% (3.97)</t>
  </si>
  <si>
    <t>95% (7.48)</t>
  </si>
  <si>
    <t>Cinemascore</t>
  </si>
  <si>
    <t>87% (7.4)</t>
  </si>
  <si>
    <t>86% (4.14)</t>
  </si>
  <si>
    <t>72% (7.3)</t>
  </si>
  <si>
    <t>90% (7.69)</t>
  </si>
  <si>
    <t>85% (4.22)</t>
  </si>
  <si>
    <t>85% (7.32)</t>
  </si>
  <si>
    <t>89% (7.34)</t>
  </si>
  <si>
    <t>91% (4.28)</t>
  </si>
  <si>
    <t>87% (7.03)</t>
  </si>
  <si>
    <t>97% (8.07)</t>
  </si>
  <si>
    <t>92% (4.37)</t>
  </si>
  <si>
    <t>98% (7.78)</t>
  </si>
  <si>
    <t>96% (7.88)</t>
  </si>
  <si>
    <t>89% (4.23)</t>
  </si>
  <si>
    <t>88% (7.32)</t>
  </si>
  <si>
    <t>65% (3.51)</t>
  </si>
  <si>
    <t>85% (7.07)</t>
  </si>
  <si>
    <t>The Phantom Menace</t>
  </si>
  <si>
    <t>Attack of the Clones</t>
  </si>
  <si>
    <t>Revenge of the Sith</t>
  </si>
  <si>
    <t>A New Hope</t>
  </si>
  <si>
    <t>The Empire Strikes Back</t>
  </si>
  <si>
    <t>Return of the Jedi</t>
  </si>
  <si>
    <t>The Force Awakens</t>
  </si>
  <si>
    <t>The Last Jedi</t>
  </si>
  <si>
    <t>The Rise of Skywalker</t>
  </si>
  <si>
    <t>Rogue One</t>
  </si>
  <si>
    <t>Solo</t>
  </si>
  <si>
    <t>53% (5.97)</t>
  </si>
  <si>
    <t>59% (3.52)</t>
  </si>
  <si>
    <t>39% (5.5)</t>
  </si>
  <si>
    <t>66% (6.6)</t>
  </si>
  <si>
    <t>56% (3.37)</t>
  </si>
  <si>
    <t>44%  (6.28)</t>
  </si>
  <si>
    <t>80% (7.28)</t>
  </si>
  <si>
    <t>66% (3.13)</t>
  </si>
  <si>
    <t>66% (6.87)</t>
  </si>
  <si>
    <t>93% (8.76)</t>
  </si>
  <si>
    <t>96% (4.55)</t>
  </si>
  <si>
    <t>88% (9.02)</t>
  </si>
  <si>
    <t>95% (8.95)</t>
  </si>
  <si>
    <t>97% (4.64)</t>
  </si>
  <si>
    <t>89% (8.36)</t>
  </si>
  <si>
    <t>81% (7.24)</t>
  </si>
  <si>
    <t>94% (4.42)</t>
  </si>
  <si>
    <t>78% (7.23)</t>
  </si>
  <si>
    <t>93% (8.27)</t>
  </si>
  <si>
    <t>86% (4.23)</t>
  </si>
  <si>
    <t>90% (8.29)</t>
  </si>
  <si>
    <t>91% (8.09)</t>
  </si>
  <si>
    <t>44% (2.73)</t>
  </si>
  <si>
    <t>95% (8.14)</t>
  </si>
  <si>
    <t>Brother Bear</t>
  </si>
  <si>
    <t>Chicken Little</t>
  </si>
  <si>
    <t>Atlantis: The Lost Empire</t>
  </si>
  <si>
    <t>Oliver &amp; Company</t>
  </si>
  <si>
    <t>Home on the Range</t>
  </si>
  <si>
    <t>Robin Hood</t>
  </si>
  <si>
    <t>The Black Cauldron</t>
  </si>
  <si>
    <t>Pocahontas</t>
  </si>
  <si>
    <t>Dinosaur</t>
  </si>
  <si>
    <t>The Aristocats</t>
  </si>
  <si>
    <t>Fun &amp; Fancy Free</t>
  </si>
  <si>
    <t>The Sword in the Stone</t>
  </si>
  <si>
    <t>The Rescuers Down Under</t>
  </si>
  <si>
    <t>Treasure Planet</t>
  </si>
  <si>
    <t>The Fox and the Hound</t>
  </si>
  <si>
    <t>The Great Mouse Detective</t>
  </si>
  <si>
    <t>The Rescuers</t>
  </si>
  <si>
    <t>Runtime</t>
  </si>
  <si>
    <t>Peter Pan</t>
  </si>
  <si>
    <t>Fantasia 2000</t>
  </si>
  <si>
    <t>Alice in Wonderland</t>
  </si>
  <si>
    <t>Hercules</t>
  </si>
  <si>
    <t>The Emperor's New Groove</t>
  </si>
  <si>
    <t>Lilo &amp; Stitch</t>
  </si>
  <si>
    <t>Sleeping Beauty</t>
  </si>
  <si>
    <t>Melody Time</t>
  </si>
  <si>
    <t>Tarzan</t>
  </si>
  <si>
    <t>Bambi</t>
  </si>
  <si>
    <t>The Adventures of Ichabod and Mr. Toad</t>
  </si>
  <si>
    <t>Lady and the Tramp</t>
  </si>
  <si>
    <t>Fantasia</t>
  </si>
  <si>
    <t>101 Dalmations</t>
  </si>
  <si>
    <t>Snow White and the Seven Dwarfs</t>
  </si>
  <si>
    <t>The Many Adventures of Winnie the Pooh</t>
  </si>
  <si>
    <t>Pinnochio</t>
  </si>
  <si>
    <t>Saludos Amigos</t>
  </si>
  <si>
    <t>The Three Caballeros</t>
  </si>
  <si>
    <t>Make Mine Music</t>
  </si>
  <si>
    <t>The King's Man</t>
  </si>
  <si>
    <t>Disney Animation</t>
  </si>
  <si>
    <t>When in Rome</t>
  </si>
  <si>
    <t>The Last Song</t>
  </si>
  <si>
    <t>Prince of Persia: The Sands of Time</t>
  </si>
  <si>
    <t>The Sorcerer's Apprentice</t>
  </si>
  <si>
    <t>You Again</t>
  </si>
  <si>
    <t>Secretariat</t>
  </si>
  <si>
    <t>The Tempest</t>
  </si>
  <si>
    <t>Tron: Legacy</t>
  </si>
  <si>
    <t>Gnomeo &amp; Juliet</t>
  </si>
  <si>
    <t>Mars Needs Moms</t>
  </si>
  <si>
    <t>Prom</t>
  </si>
  <si>
    <t>Pirates of the Cariibean: On Stranger Tides</t>
  </si>
  <si>
    <t>The Help</t>
  </si>
  <si>
    <t>Fright Night</t>
  </si>
  <si>
    <t>Real Steel</t>
  </si>
  <si>
    <t>The Muppets</t>
  </si>
  <si>
    <t>War Horse</t>
  </si>
  <si>
    <t>Reception</t>
  </si>
  <si>
    <t>Overseas</t>
  </si>
  <si>
    <t>Domestic</t>
  </si>
  <si>
    <t>Worldwide</t>
  </si>
  <si>
    <t>Opening</t>
  </si>
  <si>
    <t>&gt;$1M</t>
  </si>
  <si>
    <t>92% (4.58)</t>
  </si>
  <si>
    <t>73% (6.5)</t>
  </si>
  <si>
    <t>Frozen II Opening</t>
  </si>
  <si>
    <t>Step Up 3D</t>
  </si>
  <si>
    <t>I Am Number Four</t>
  </si>
  <si>
    <t>The Light Between Oceans</t>
  </si>
  <si>
    <t>Queen of Katwe</t>
  </si>
  <si>
    <t>Jumanji: The Next Level</t>
  </si>
  <si>
    <t>Monday</t>
  </si>
  <si>
    <t>Tuesday</t>
  </si>
  <si>
    <t>Wednesday</t>
  </si>
  <si>
    <t>Thursday</t>
  </si>
  <si>
    <t>R%</t>
  </si>
  <si>
    <t>PR</t>
  </si>
  <si>
    <t>Rµ</t>
  </si>
  <si>
    <t>OW%</t>
  </si>
  <si>
    <t>OW PTA</t>
  </si>
  <si>
    <t>Screen</t>
  </si>
  <si>
    <t>xB</t>
  </si>
  <si>
    <t>2nd</t>
  </si>
  <si>
    <t>Drop</t>
  </si>
  <si>
    <t>Black Widow</t>
  </si>
  <si>
    <t>Eternals</t>
  </si>
  <si>
    <t>Luca</t>
  </si>
  <si>
    <t>Encanto</t>
  </si>
  <si>
    <t>Hamilton</t>
  </si>
  <si>
    <t>Disney+</t>
  </si>
  <si>
    <t>The One and Only Ivan</t>
  </si>
  <si>
    <t>Noelle</t>
  </si>
  <si>
    <t>Togo</t>
  </si>
  <si>
    <t>Timmy Failure: Mistakes Were Made</t>
  </si>
  <si>
    <t>Stargirl</t>
  </si>
  <si>
    <t>Magic Camp</t>
  </si>
  <si>
    <t>Dolphin Reef</t>
  </si>
  <si>
    <t>Elephant</t>
  </si>
  <si>
    <t>Artemis Fowl</t>
  </si>
  <si>
    <t>Black Is King</t>
  </si>
  <si>
    <t>Phineas and Ferb the Movie: Candace Against the Universe</t>
  </si>
  <si>
    <t>Secret Society of Second-Born Royals</t>
  </si>
  <si>
    <t>Clouds</t>
  </si>
  <si>
    <t>Safety</t>
  </si>
  <si>
    <t>Godmothered</t>
  </si>
  <si>
    <t>Folklore: The Long Pond Studio Sessions</t>
  </si>
  <si>
    <t>Black Beauty</t>
  </si>
  <si>
    <t>Howard</t>
  </si>
  <si>
    <t>Turning Red</t>
  </si>
  <si>
    <t>Lightyear</t>
  </si>
  <si>
    <t>Richard Jewell</t>
  </si>
  <si>
    <t>Just Mercy</t>
  </si>
  <si>
    <t>Harley Quinn: Birds of Prey</t>
  </si>
  <si>
    <t>The Way Back</t>
  </si>
  <si>
    <t>Tenet</t>
  </si>
  <si>
    <t>Wonder Woman 1984</t>
  </si>
  <si>
    <t>The Little Things</t>
  </si>
  <si>
    <t>Tom &amp; Jerry</t>
  </si>
  <si>
    <t>Scoob!</t>
  </si>
  <si>
    <t>78% (6.70)</t>
  </si>
  <si>
    <t>?</t>
  </si>
  <si>
    <t>67% (6.4)</t>
  </si>
  <si>
    <t>89% (7.2)</t>
  </si>
  <si>
    <t>Black Panther: Wakanda Forever</t>
  </si>
  <si>
    <t>The Marvels</t>
  </si>
  <si>
    <t>Ant-Man and the Wasp: Quantumania</t>
  </si>
  <si>
    <t>Guardians of the Galaxy Vol.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</si>
</sst>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$&quot;#,##0;[Red]\-&quot;$&quot;#,##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[$-F800]dddd\,\ mmmm\ dd\,\ yyyy"/>
    <numFmt numFmtId="165" formatCode="&quot;$&quot;#,##0"/>
    <numFmt numFmtId="166" formatCode="[$-1009]mmmm\ d\,\ yyyy;@"/>
    <numFmt numFmtId="167" formatCode="0.0%"/>
    <numFmt numFmtId="168" formatCode="0.000000%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9"/>
      <color theme="1"/>
      <name val="SF Pro Display"/>
    </font>
    <font>
      <b/>
      <sz val="10"/>
      <color theme="1"/>
      <name val="SF Pro Display"/>
    </font>
    <font>
      <sz val="10"/>
      <color theme="1"/>
      <name val="SF Pro Display"/>
    </font>
    <font>
      <sz val="11"/>
      <color rgb="FF9C0006"/>
      <name val="SF Pro Display"/>
    </font>
    <font>
      <sz val="11"/>
      <color theme="1"/>
      <name val="SF Pro Display"/>
    </font>
    <font>
      <sz val="11"/>
      <color rgb="FF006100"/>
      <name val="SF Pro Display"/>
    </font>
    <font>
      <sz val="11"/>
      <color rgb="FF9C5700"/>
      <name val="SF Pro Display"/>
    </font>
    <font>
      <i/>
      <sz val="11"/>
      <color theme="1"/>
      <name val="SF Pro Display"/>
    </font>
    <font>
      <b/>
      <sz val="11"/>
      <color theme="1"/>
      <name val="SF Pro Display"/>
    </font>
    <font>
      <sz val="11"/>
      <color theme="1"/>
      <name val="SF Compact Display"/>
      <family val="2"/>
    </font>
    <font>
      <sz val="11"/>
      <color theme="1"/>
      <name val="Product Sans"/>
      <family val="2"/>
    </font>
    <font>
      <sz val="8"/>
      <name val="Calibri"/>
      <family val="2"/>
      <scheme val="minor"/>
    </font>
    <font>
      <b/>
      <sz val="10"/>
      <name val="SF Pro Display"/>
    </font>
    <font>
      <sz val="11"/>
      <name val="SF Pro Display"/>
    </font>
    <font>
      <sz val="11"/>
      <color theme="1"/>
      <name val="SF Pro Text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0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10" fillId="2" borderId="0">
      <alignment horizontal="center" vertical="center"/>
    </xf>
    <xf numFmtId="0" fontId="8" fillId="3" borderId="1">
      <alignment horizontal="center" vertical="center"/>
    </xf>
    <xf numFmtId="0" fontId="11" fillId="4" borderId="1">
      <alignment horizontal="center" vertical="center"/>
    </xf>
  </cellStyleXfs>
  <cellXfs count="150">
    <xf numFmtId="0" fontId="0" fillId="0" borderId="0" xfId="0"/>
    <xf numFmtId="0" fontId="5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9" fontId="6" fillId="0" borderId="1" xfId="2" applyNumberFormat="1" applyFont="1" applyBorder="1" applyAlignment="1">
      <alignment horizontal="center" vertical="center"/>
    </xf>
    <xf numFmtId="1" fontId="6" fillId="0" borderId="1" xfId="2" applyNumberFormat="1" applyFont="1" applyBorder="1" applyAlignment="1">
      <alignment horizontal="center" vertical="center"/>
    </xf>
    <xf numFmtId="165" fontId="6" fillId="0" borderId="1" xfId="0" applyNumberFormat="1" applyFont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 vertical="center"/>
    </xf>
    <xf numFmtId="10" fontId="6" fillId="0" borderId="1" xfId="2" applyNumberFormat="1" applyFont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 vertical="center"/>
    </xf>
    <xf numFmtId="0" fontId="6" fillId="0" borderId="1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3" borderId="1" xfId="5" applyFont="1" applyBorder="1" applyAlignment="1">
      <alignment horizontal="center" vertical="center"/>
    </xf>
    <xf numFmtId="166" fontId="9" fillId="0" borderId="1" xfId="0" applyNumberFormat="1" applyFont="1" applyBorder="1" applyAlignment="1">
      <alignment horizontal="center" vertical="center"/>
    </xf>
    <xf numFmtId="9" fontId="9" fillId="0" borderId="1" xfId="2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65" fontId="9" fillId="0" borderId="1" xfId="0" applyNumberFormat="1" applyFont="1" applyBorder="1" applyAlignment="1">
      <alignment horizontal="center" vertical="center"/>
    </xf>
    <xf numFmtId="165" fontId="9" fillId="0" borderId="1" xfId="1" applyNumberFormat="1" applyFont="1" applyBorder="1" applyAlignment="1">
      <alignment horizontal="center" vertical="center"/>
    </xf>
    <xf numFmtId="1" fontId="9" fillId="0" borderId="1" xfId="1" applyNumberFormat="1" applyFont="1" applyBorder="1" applyAlignment="1">
      <alignment horizontal="center" vertical="center"/>
    </xf>
    <xf numFmtId="10" fontId="9" fillId="0" borderId="1" xfId="2" applyNumberFormat="1" applyFont="1" applyBorder="1" applyAlignment="1">
      <alignment horizontal="center" vertical="center"/>
    </xf>
    <xf numFmtId="2" fontId="9" fillId="0" borderId="1" xfId="0" applyNumberFormat="1" applyFont="1" applyBorder="1" applyAlignment="1">
      <alignment horizontal="center" vertical="center"/>
    </xf>
    <xf numFmtId="0" fontId="10" fillId="2" borderId="1" xfId="4" applyFont="1" applyBorder="1" applyAlignment="1">
      <alignment horizontal="center" vertical="center"/>
    </xf>
    <xf numFmtId="1" fontId="9" fillId="0" borderId="1" xfId="0" applyNumberFormat="1" applyFont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11" fillId="4" borderId="1" xfId="6" applyFont="1" applyBorder="1" applyAlignment="1">
      <alignment horizontal="center" vertical="center"/>
    </xf>
    <xf numFmtId="0" fontId="10" fillId="2" borderId="6" xfId="4" applyFont="1" applyBorder="1" applyAlignment="1">
      <alignment horizontal="center" vertical="center"/>
    </xf>
    <xf numFmtId="166" fontId="9" fillId="0" borderId="6" xfId="0" applyNumberFormat="1" applyFont="1" applyBorder="1" applyAlignment="1">
      <alignment horizontal="center" vertical="center"/>
    </xf>
    <xf numFmtId="9" fontId="9" fillId="0" borderId="6" xfId="2" applyNumberFormat="1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1" fontId="9" fillId="0" borderId="6" xfId="0" applyNumberFormat="1" applyFont="1" applyBorder="1" applyAlignment="1">
      <alignment horizontal="center" vertical="center"/>
    </xf>
    <xf numFmtId="165" fontId="9" fillId="0" borderId="6" xfId="0" applyNumberFormat="1" applyFont="1" applyBorder="1" applyAlignment="1">
      <alignment horizontal="center" vertical="center"/>
    </xf>
    <xf numFmtId="10" fontId="9" fillId="0" borderId="6" xfId="2" applyNumberFormat="1" applyFont="1" applyBorder="1" applyAlignment="1">
      <alignment horizontal="center" vertical="center"/>
    </xf>
    <xf numFmtId="2" fontId="9" fillId="0" borderId="6" xfId="0" applyNumberFormat="1" applyFont="1" applyBorder="1" applyAlignment="1">
      <alignment horizontal="center" vertical="center"/>
    </xf>
    <xf numFmtId="0" fontId="10" fillId="2" borderId="7" xfId="4" applyFont="1" applyBorder="1" applyAlignment="1">
      <alignment horizontal="center" vertical="center"/>
    </xf>
    <xf numFmtId="166" fontId="9" fillId="0" borderId="7" xfId="0" applyNumberFormat="1" applyFont="1" applyBorder="1" applyAlignment="1">
      <alignment horizontal="center" vertical="center"/>
    </xf>
    <xf numFmtId="9" fontId="9" fillId="0" borderId="7" xfId="2" applyNumberFormat="1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1" fontId="9" fillId="0" borderId="7" xfId="0" applyNumberFormat="1" applyFont="1" applyBorder="1" applyAlignment="1">
      <alignment horizontal="center" vertical="center"/>
    </xf>
    <xf numFmtId="165" fontId="9" fillId="0" borderId="7" xfId="0" applyNumberFormat="1" applyFont="1" applyBorder="1" applyAlignment="1">
      <alignment horizontal="center" vertical="center"/>
    </xf>
    <xf numFmtId="10" fontId="9" fillId="0" borderId="7" xfId="2" applyNumberFormat="1" applyFont="1" applyBorder="1" applyAlignment="1">
      <alignment horizontal="center" vertical="center"/>
    </xf>
    <xf numFmtId="2" fontId="9" fillId="0" borderId="7" xfId="0" applyNumberFormat="1" applyFont="1" applyBorder="1" applyAlignment="1">
      <alignment horizontal="center" vertical="center"/>
    </xf>
    <xf numFmtId="1" fontId="9" fillId="0" borderId="6" xfId="2" applyNumberFormat="1" applyFont="1" applyBorder="1" applyAlignment="1">
      <alignment horizontal="center" vertical="center"/>
    </xf>
    <xf numFmtId="1" fontId="9" fillId="0" borderId="7" xfId="2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0" fontId="5" fillId="0" borderId="0" xfId="2" applyNumberFormat="1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0" fontId="5" fillId="0" borderId="0" xfId="0" applyNumberFormat="1" applyFont="1" applyAlignment="1">
      <alignment horizontal="center" vertical="center"/>
    </xf>
    <xf numFmtId="0" fontId="8" fillId="3" borderId="6" xfId="5" applyFont="1" applyBorder="1" applyAlignment="1">
      <alignment horizontal="center" vertical="center"/>
    </xf>
    <xf numFmtId="1" fontId="9" fillId="0" borderId="8" xfId="2" applyNumberFormat="1" applyFont="1" applyBorder="1" applyAlignment="1">
      <alignment horizontal="center" vertical="center"/>
    </xf>
    <xf numFmtId="0" fontId="9" fillId="0" borderId="0" xfId="0" applyFont="1"/>
    <xf numFmtId="0" fontId="5" fillId="0" borderId="0" xfId="0" applyFont="1"/>
    <xf numFmtId="1" fontId="5" fillId="0" borderId="0" xfId="2" applyNumberFormat="1" applyFont="1"/>
    <xf numFmtId="166" fontId="5" fillId="0" borderId="1" xfId="0" applyNumberFormat="1" applyFont="1" applyBorder="1" applyAlignment="1">
      <alignment horizontal="center" vertical="center"/>
    </xf>
    <xf numFmtId="1" fontId="6" fillId="0" borderId="2" xfId="2" applyNumberFormat="1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12" fillId="0" borderId="0" xfId="0" applyFont="1"/>
    <xf numFmtId="9" fontId="9" fillId="0" borderId="0" xfId="2" applyNumberFormat="1" applyFont="1"/>
    <xf numFmtId="1" fontId="9" fillId="0" borderId="0" xfId="2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0" borderId="5" xfId="0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9" fontId="5" fillId="0" borderId="0" xfId="2" applyNumberFormat="1" applyFont="1" applyAlignment="1">
      <alignment horizontal="center" vertical="center"/>
    </xf>
    <xf numFmtId="1" fontId="5" fillId="0" borderId="0" xfId="2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1" fontId="6" fillId="0" borderId="1" xfId="3" applyNumberFormat="1" applyFont="1" applyBorder="1" applyAlignment="1">
      <alignment horizontal="center" vertical="center"/>
    </xf>
    <xf numFmtId="1" fontId="6" fillId="0" borderId="8" xfId="2" applyNumberFormat="1" applyFont="1" applyBorder="1" applyAlignment="1">
      <alignment horizontal="center" vertical="center"/>
    </xf>
    <xf numFmtId="1" fontId="9" fillId="0" borderId="1" xfId="3" applyNumberFormat="1" applyFont="1" applyBorder="1" applyAlignment="1">
      <alignment horizontal="center" vertical="center"/>
    </xf>
    <xf numFmtId="1" fontId="9" fillId="0" borderId="0" xfId="0" applyNumberFormat="1" applyFont="1"/>
    <xf numFmtId="1" fontId="9" fillId="0" borderId="0" xfId="3" applyNumberFormat="1" applyFont="1" applyAlignment="1">
      <alignment horizontal="center" vertical="center"/>
    </xf>
    <xf numFmtId="3" fontId="9" fillId="0" borderId="0" xfId="0" applyNumberFormat="1" applyFont="1"/>
    <xf numFmtId="0" fontId="9" fillId="0" borderId="1" xfId="2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" xfId="2" applyNumberFormat="1" applyFont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7" fillId="0" borderId="0" xfId="0" applyFont="1"/>
    <xf numFmtId="9" fontId="5" fillId="0" borderId="0" xfId="2" applyNumberFormat="1" applyFont="1"/>
    <xf numFmtId="166" fontId="6" fillId="0" borderId="1" xfId="0" applyNumberFormat="1" applyFont="1" applyBorder="1" applyAlignment="1">
      <alignment horizontal="center" vertical="center"/>
    </xf>
    <xf numFmtId="0" fontId="11" fillId="4" borderId="7" xfId="6" applyFont="1" applyBorder="1" applyAlignment="1">
      <alignment horizontal="center" vertical="center"/>
    </xf>
    <xf numFmtId="0" fontId="10" fillId="2" borderId="0" xfId="4" applyFont="1" applyAlignment="1">
      <alignment horizontal="center" vertical="center"/>
    </xf>
    <xf numFmtId="166" fontId="5" fillId="0" borderId="0" xfId="0" applyNumberFormat="1" applyFont="1"/>
    <xf numFmtId="0" fontId="12" fillId="0" borderId="6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right"/>
    </xf>
    <xf numFmtId="0" fontId="5" fillId="0" borderId="0" xfId="0" applyFont="1" applyBorder="1" applyAlignment="1"/>
    <xf numFmtId="165" fontId="9" fillId="0" borderId="0" xfId="1" applyNumberFormat="1" applyFont="1" applyAlignment="1">
      <alignment horizontal="center" vertical="center"/>
    </xf>
    <xf numFmtId="0" fontId="9" fillId="0" borderId="0" xfId="0" applyNumberFormat="1" applyFont="1" applyAlignment="1">
      <alignment horizontal="center" vertical="center"/>
    </xf>
    <xf numFmtId="168" fontId="9" fillId="0" borderId="0" xfId="2" applyNumberFormat="1" applyFont="1" applyAlignment="1">
      <alignment horizontal="center" vertical="center"/>
    </xf>
    <xf numFmtId="167" fontId="9" fillId="0" borderId="0" xfId="2" applyNumberFormat="1" applyFont="1" applyAlignment="1">
      <alignment horizontal="center" vertical="center"/>
    </xf>
    <xf numFmtId="165" fontId="9" fillId="0" borderId="0" xfId="0" applyNumberFormat="1" applyFont="1" applyAlignment="1">
      <alignment horizontal="center" vertical="center"/>
    </xf>
    <xf numFmtId="0" fontId="5" fillId="0" borderId="0" xfId="0" applyFont="1" applyBorder="1" applyAlignment="1">
      <alignment horizontal="right"/>
    </xf>
    <xf numFmtId="10" fontId="9" fillId="0" borderId="0" xfId="0" applyNumberFormat="1" applyFont="1" applyAlignment="1">
      <alignment horizontal="center" vertical="center"/>
    </xf>
    <xf numFmtId="6" fontId="9" fillId="0" borderId="1" xfId="0" applyNumberFormat="1" applyFont="1" applyBorder="1" applyAlignment="1">
      <alignment horizontal="center" vertical="center"/>
    </xf>
    <xf numFmtId="9" fontId="9" fillId="0" borderId="0" xfId="2" applyNumberFormat="1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4" fillId="0" borderId="0" xfId="0" applyFont="1"/>
    <xf numFmtId="167" fontId="9" fillId="0" borderId="0" xfId="2" applyNumberFormat="1" applyFont="1"/>
    <xf numFmtId="0" fontId="15" fillId="0" borderId="0" xfId="0" applyFont="1"/>
    <xf numFmtId="0" fontId="15" fillId="0" borderId="0" xfId="0" applyFont="1" applyAlignment="1">
      <alignment horizontal="center" vertical="center"/>
    </xf>
    <xf numFmtId="0" fontId="6" fillId="0" borderId="1" xfId="0" applyFont="1" applyBorder="1" applyAlignment="1">
      <alignment vertical="center"/>
    </xf>
    <xf numFmtId="9" fontId="9" fillId="0" borderId="0" xfId="0" applyNumberFormat="1" applyFont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  <xf numFmtId="3" fontId="9" fillId="0" borderId="1" xfId="0" applyNumberFormat="1" applyFont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9" fontId="9" fillId="0" borderId="1" xfId="0" applyNumberFormat="1" applyFont="1" applyBorder="1" applyAlignment="1">
      <alignment horizontal="center" vertical="center"/>
    </xf>
    <xf numFmtId="165" fontId="9" fillId="0" borderId="7" xfId="1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164" fontId="6" fillId="0" borderId="1" xfId="0" applyNumberFormat="1" applyFont="1" applyBorder="1" applyAlignment="1">
      <alignment horizontal="left" vertical="center"/>
    </xf>
    <xf numFmtId="1" fontId="6" fillId="0" borderId="1" xfId="3" applyNumberFormat="1" applyFont="1" applyBorder="1" applyAlignment="1">
      <alignment horizontal="left" vertical="center"/>
    </xf>
    <xf numFmtId="9" fontId="6" fillId="0" borderId="1" xfId="2" applyNumberFormat="1" applyFont="1" applyBorder="1" applyAlignment="1">
      <alignment horizontal="left" vertical="center"/>
    </xf>
    <xf numFmtId="1" fontId="6" fillId="0" borderId="1" xfId="2" applyNumberFormat="1" applyFont="1" applyBorder="1" applyAlignment="1">
      <alignment horizontal="left" vertical="center"/>
    </xf>
    <xf numFmtId="1" fontId="6" fillId="0" borderId="8" xfId="2" applyNumberFormat="1" applyFont="1" applyBorder="1" applyAlignment="1">
      <alignment horizontal="left" vertical="center"/>
    </xf>
    <xf numFmtId="165" fontId="6" fillId="0" borderId="1" xfId="0" applyNumberFormat="1" applyFont="1" applyBorder="1" applyAlignment="1">
      <alignment horizontal="left" vertical="center"/>
    </xf>
    <xf numFmtId="10" fontId="6" fillId="0" borderId="1" xfId="2" applyNumberFormat="1" applyFont="1" applyBorder="1" applyAlignment="1">
      <alignment horizontal="left" vertical="center"/>
    </xf>
    <xf numFmtId="2" fontId="6" fillId="0" borderId="1" xfId="0" applyNumberFormat="1" applyFont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  <xf numFmtId="3" fontId="13" fillId="0" borderId="1" xfId="0" applyNumberFormat="1" applyFont="1" applyBorder="1" applyAlignment="1">
      <alignment horizontal="left" vertical="center"/>
    </xf>
    <xf numFmtId="0" fontId="8" fillId="3" borderId="1" xfId="8">
      <alignment horizontal="center" vertical="center"/>
    </xf>
    <xf numFmtId="164" fontId="9" fillId="0" borderId="1" xfId="0" applyNumberFormat="1" applyFont="1" applyBorder="1" applyAlignment="1">
      <alignment horizontal="center" vertical="center"/>
    </xf>
    <xf numFmtId="164" fontId="9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10" fontId="9" fillId="0" borderId="0" xfId="2" applyNumberFormat="1" applyFont="1" applyAlignment="1">
      <alignment horizontal="center" vertical="center"/>
    </xf>
    <xf numFmtId="9" fontId="9" fillId="0" borderId="0" xfId="2" applyNumberFormat="1" applyFont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8" fillId="0" borderId="1" xfId="8" applyFont="1" applyFill="1" applyBorder="1">
      <alignment horizontal="center" vertical="center"/>
    </xf>
    <xf numFmtId="0" fontId="18" fillId="0" borderId="1" xfId="7" applyFont="1" applyFill="1" applyBorder="1">
      <alignment horizontal="center" vertical="center"/>
    </xf>
    <xf numFmtId="0" fontId="18" fillId="0" borderId="1" xfId="9" applyFont="1" applyFill="1">
      <alignment horizontal="center" vertical="center"/>
    </xf>
    <xf numFmtId="0" fontId="18" fillId="0" borderId="1" xfId="9" applyFont="1" applyFill="1" applyBorder="1">
      <alignment horizontal="center" vertical="center"/>
    </xf>
    <xf numFmtId="0" fontId="18" fillId="0" borderId="1" xfId="0" applyFont="1" applyFill="1" applyBorder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/>
    </xf>
    <xf numFmtId="0" fontId="18" fillId="0" borderId="9" xfId="0" applyFont="1" applyFill="1" applyBorder="1" applyAlignment="1">
      <alignment horizontal="center" vertical="center"/>
    </xf>
    <xf numFmtId="164" fontId="9" fillId="0" borderId="9" xfId="0" applyNumberFormat="1" applyFont="1" applyBorder="1" applyAlignment="1">
      <alignment horizontal="center" vertical="center"/>
    </xf>
    <xf numFmtId="9" fontId="9" fillId="0" borderId="9" xfId="2" applyNumberFormat="1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1" fontId="9" fillId="0" borderId="9" xfId="0" applyNumberFormat="1" applyFont="1" applyBorder="1" applyAlignment="1">
      <alignment horizontal="center" vertical="center"/>
    </xf>
    <xf numFmtId="2" fontId="9" fillId="0" borderId="9" xfId="2" applyNumberFormat="1" applyFont="1" applyBorder="1" applyAlignment="1">
      <alignment horizontal="center" vertical="center"/>
    </xf>
    <xf numFmtId="165" fontId="9" fillId="0" borderId="9" xfId="0" applyNumberFormat="1" applyFont="1" applyBorder="1" applyAlignment="1">
      <alignment horizontal="center" vertical="center"/>
    </xf>
    <xf numFmtId="10" fontId="9" fillId="0" borderId="9" xfId="2" applyNumberFormat="1" applyFont="1" applyBorder="1" applyAlignment="1">
      <alignment horizontal="center" vertical="center"/>
    </xf>
    <xf numFmtId="2" fontId="9" fillId="0" borderId="9" xfId="0" applyNumberFormat="1" applyFont="1" applyBorder="1" applyAlignment="1">
      <alignment horizontal="center" vertical="center"/>
    </xf>
  </cellXfs>
  <cellStyles count="10">
    <cellStyle name="Bad" xfId="5" builtinId="27"/>
    <cellStyle name="Comma" xfId="3" builtinId="3"/>
    <cellStyle name="Currency" xfId="1" builtinId="4"/>
    <cellStyle name="Good" xfId="4" builtinId="26"/>
    <cellStyle name="Neutral" xfId="6" builtinId="28"/>
    <cellStyle name="Normal" xfId="0" builtinId="0"/>
    <cellStyle name="Percent" xfId="2" builtinId="5"/>
    <cellStyle name="SF Bad" xfId="8" xr:uid="{55A88D27-75B9-459C-9E35-4ED3B73F0AB0}"/>
    <cellStyle name="SF Good" xfId="7" xr:uid="{8AD049A4-0EC5-4107-9C58-2B3CBB5C39E8}"/>
    <cellStyle name="SF Meh" xfId="9" xr:uid="{E87DC96B-4B6F-484E-A737-69B4F467C1CC}"/>
  </cellStyles>
  <dxfs count="423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/>
    <cx:plotArea>
      <cx:plotAreaRegion>
        <cx:series layoutId="boxWhisker" uniqueId="{A7FA32B7-279D-4D10-936B-70A1F39FC321}"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114</xdr:row>
          <xdr:rowOff>0</xdr:rowOff>
        </xdr:from>
        <xdr:to>
          <xdr:col>1</xdr:col>
          <xdr:colOff>0</xdr:colOff>
          <xdr:row>116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SF Pro Text"/>
                  <a:ea typeface="SF Pro Text"/>
                  <a:cs typeface="SF Pro Text"/>
                </a:rPr>
                <a:t>Add Movie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114</xdr:row>
          <xdr:rowOff>0</xdr:rowOff>
        </xdr:from>
        <xdr:to>
          <xdr:col>3</xdr:col>
          <xdr:colOff>0</xdr:colOff>
          <xdr:row>116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SF Pro Text"/>
                  <a:ea typeface="SF Pro Text"/>
                  <a:cs typeface="SF Pro Text"/>
                </a:rPr>
                <a:t>%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SF Pro Text"/>
                  <a:ea typeface="SF Pro Text"/>
                  <a:cs typeface="SF Pro Text"/>
                </a:rPr>
                <a:t>U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114</xdr:row>
          <xdr:rowOff>0</xdr:rowOff>
        </xdr:from>
        <xdr:to>
          <xdr:col>2</xdr:col>
          <xdr:colOff>0</xdr:colOff>
          <xdr:row>116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SF Pro Text"/>
                  <a:ea typeface="SF Pro Text"/>
                  <a:cs typeface="SF Pro Text"/>
                </a:rPr>
                <a:t>Date Sort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678180</xdr:colOff>
      <xdr:row>6</xdr:row>
      <xdr:rowOff>179070</xdr:rowOff>
    </xdr:from>
    <xdr:to>
      <xdr:col>12</xdr:col>
      <xdr:colOff>7620</xdr:colOff>
      <xdr:row>21</xdr:row>
      <xdr:rowOff>179070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FD6D4755-8FB2-4103-83EA-2416EA48E00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88205" y="1322070"/>
              <a:ext cx="4549140" cy="2857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CA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121"/>
  <sheetViews>
    <sheetView tabSelected="1" zoomScale="90" zoomScaleNormal="90" workbookViewId="0">
      <selection activeCell="F120" sqref="F120"/>
    </sheetView>
  </sheetViews>
  <sheetFormatPr defaultColWidth="9.140625" defaultRowHeight="15" customHeight="1"/>
  <cols>
    <col min="1" max="1" width="57" style="135" bestFit="1" customWidth="1"/>
    <col min="2" max="2" width="20.28515625" style="125" bestFit="1" customWidth="1"/>
    <col min="3" max="3" width="9" style="125" bestFit="1" customWidth="1"/>
    <col min="4" max="4" width="8.7109375" style="62" bestFit="1" customWidth="1"/>
    <col min="5" max="5" width="9" style="62" bestFit="1" customWidth="1"/>
    <col min="6" max="6" width="8.5703125" style="62" bestFit="1" customWidth="1"/>
    <col min="7" max="7" width="8.85546875" style="99" bestFit="1" customWidth="1"/>
    <col min="8" max="8" width="8.28515625" style="126" bestFit="1" customWidth="1"/>
    <col min="9" max="9" width="15.42578125" style="94" bestFit="1" customWidth="1"/>
    <col min="10" max="10" width="15.140625" style="94" bestFit="1" customWidth="1"/>
    <col min="11" max="11" width="11.28515625" style="127" bestFit="1" customWidth="1"/>
    <col min="12" max="12" width="15.42578125" style="94" customWidth="1"/>
    <col min="13" max="13" width="11.28515625" style="126" bestFit="1" customWidth="1"/>
    <col min="14" max="14" width="16.7109375" style="126" bestFit="1" customWidth="1"/>
    <col min="15" max="15" width="17" style="94" bestFit="1" customWidth="1"/>
    <col min="16" max="16384" width="9.140625" style="62"/>
  </cols>
  <sheetData>
    <row r="1" spans="1:15" s="11" customFormat="1" ht="15" customHeight="1">
      <c r="A1" s="129" t="s">
        <v>19</v>
      </c>
      <c r="B1" s="3" t="s">
        <v>2</v>
      </c>
      <c r="C1" s="4" t="s">
        <v>459</v>
      </c>
      <c r="D1" s="5" t="s">
        <v>461</v>
      </c>
      <c r="E1" s="5" t="s">
        <v>268</v>
      </c>
      <c r="F1" s="5" t="s">
        <v>460</v>
      </c>
      <c r="G1" s="116" t="s">
        <v>446</v>
      </c>
      <c r="H1" s="109" t="s">
        <v>465</v>
      </c>
      <c r="I1" s="6" t="s">
        <v>9</v>
      </c>
      <c r="J1" s="6" t="s">
        <v>272</v>
      </c>
      <c r="K1" s="8" t="s">
        <v>462</v>
      </c>
      <c r="L1" s="6" t="s">
        <v>270</v>
      </c>
      <c r="M1" s="9" t="s">
        <v>269</v>
      </c>
      <c r="N1" s="6" t="s">
        <v>271</v>
      </c>
      <c r="O1" s="6" t="s">
        <v>225</v>
      </c>
    </row>
    <row r="2" spans="1:15" ht="15" customHeight="1">
      <c r="A2" s="131" t="s">
        <v>82</v>
      </c>
      <c r="B2" s="13">
        <v>40718</v>
      </c>
      <c r="C2" s="14">
        <v>0.39</v>
      </c>
      <c r="D2" s="24">
        <v>55</v>
      </c>
      <c r="E2" s="24">
        <v>57</v>
      </c>
      <c r="F2" s="24">
        <v>24</v>
      </c>
      <c r="G2" s="24">
        <v>31</v>
      </c>
      <c r="H2" s="16">
        <f>O2/I2</f>
        <v>2.8105527850000001</v>
      </c>
      <c r="I2" s="17">
        <v>200000000</v>
      </c>
      <c r="J2" s="17">
        <v>66135507</v>
      </c>
      <c r="K2" s="20">
        <f>J2/L2</f>
        <v>0.34544099933855099</v>
      </c>
      <c r="L2" s="17">
        <v>191452396</v>
      </c>
      <c r="M2" s="21">
        <f>L2/J2</f>
        <v>2.8948503562541679</v>
      </c>
      <c r="N2" s="17">
        <v>370658161</v>
      </c>
      <c r="O2" s="17">
        <f>L2+N2</f>
        <v>562110557</v>
      </c>
    </row>
    <row r="3" spans="1:15" ht="15" customHeight="1">
      <c r="A3" s="130" t="s">
        <v>43</v>
      </c>
      <c r="B3" s="13">
        <v>43406</v>
      </c>
      <c r="C3" s="14">
        <v>0.33</v>
      </c>
      <c r="D3" s="24">
        <v>52</v>
      </c>
      <c r="E3" s="24">
        <v>39</v>
      </c>
      <c r="F3" s="24">
        <v>35</v>
      </c>
      <c r="G3" s="24">
        <v>5</v>
      </c>
      <c r="H3" s="16">
        <f>O3/I3</f>
        <v>1.4496755750000001</v>
      </c>
      <c r="I3" s="17">
        <v>120000000</v>
      </c>
      <c r="J3" s="17">
        <v>20352491</v>
      </c>
      <c r="K3" s="20">
        <f>J3/L3</f>
        <v>0.37099739839611295</v>
      </c>
      <c r="L3" s="17">
        <v>54858851</v>
      </c>
      <c r="M3" s="21">
        <f>L3/J3</f>
        <v>2.6954366912630006</v>
      </c>
      <c r="N3" s="17">
        <v>119102218</v>
      </c>
      <c r="O3" s="17">
        <f>L3+N3</f>
        <v>173961069</v>
      </c>
    </row>
    <row r="4" spans="1:15" ht="15" customHeight="1">
      <c r="A4" s="130" t="s">
        <v>42</v>
      </c>
      <c r="B4" s="13">
        <v>43553</v>
      </c>
      <c r="C4" s="14">
        <v>0.47</v>
      </c>
      <c r="D4" s="24">
        <v>55</v>
      </c>
      <c r="E4" s="24">
        <v>51</v>
      </c>
      <c r="F4" s="24">
        <v>35</v>
      </c>
      <c r="G4" s="24">
        <v>10</v>
      </c>
      <c r="H4" s="16">
        <f>O4/I4</f>
        <v>2.0781448294117646</v>
      </c>
      <c r="I4" s="17">
        <v>170000000</v>
      </c>
      <c r="J4" s="17">
        <v>45990748</v>
      </c>
      <c r="K4" s="20">
        <f>J4/L4</f>
        <v>0.40073388437949825</v>
      </c>
      <c r="L4" s="17">
        <v>114766307</v>
      </c>
      <c r="M4" s="21">
        <f>L4/J4</f>
        <v>2.4954216226272292</v>
      </c>
      <c r="N4" s="17">
        <v>238518314</v>
      </c>
      <c r="O4" s="17">
        <f>L4+N4</f>
        <v>353284621</v>
      </c>
    </row>
    <row r="5" spans="1:15" ht="15" customHeight="1">
      <c r="A5" s="130" t="s">
        <v>32</v>
      </c>
      <c r="B5" s="13">
        <v>43168</v>
      </c>
      <c r="C5" s="14">
        <v>0.42</v>
      </c>
      <c r="D5" s="24">
        <v>53</v>
      </c>
      <c r="E5" s="24">
        <v>53</v>
      </c>
      <c r="F5" s="24">
        <v>39</v>
      </c>
      <c r="G5" s="24">
        <v>17</v>
      </c>
      <c r="H5" s="16">
        <f>O5/I5</f>
        <v>1.32675864</v>
      </c>
      <c r="I5" s="17">
        <v>100000000</v>
      </c>
      <c r="J5" s="17">
        <v>33123609</v>
      </c>
      <c r="K5" s="20">
        <f>J5/L5</f>
        <v>0.32965831891301678</v>
      </c>
      <c r="L5" s="17">
        <v>100478608</v>
      </c>
      <c r="M5" s="21">
        <f>L5/J5</f>
        <v>3.0334438496722989</v>
      </c>
      <c r="N5" s="17">
        <v>32197256</v>
      </c>
      <c r="O5" s="17">
        <f>L5+N5</f>
        <v>132675864</v>
      </c>
    </row>
    <row r="6" spans="1:15" ht="15" customHeight="1">
      <c r="A6" s="131" t="s">
        <v>139</v>
      </c>
      <c r="B6" s="13">
        <v>41586</v>
      </c>
      <c r="C6" s="14">
        <v>0.67</v>
      </c>
      <c r="D6" s="24">
        <v>62</v>
      </c>
      <c r="E6" s="24">
        <v>54</v>
      </c>
      <c r="F6" s="24">
        <v>40</v>
      </c>
      <c r="G6" s="24">
        <v>24</v>
      </c>
      <c r="H6" s="16">
        <f>O6/I6</f>
        <v>3.7915964823529413</v>
      </c>
      <c r="I6" s="17">
        <v>170000000</v>
      </c>
      <c r="J6" s="17">
        <v>85737841</v>
      </c>
      <c r="K6" s="20">
        <f>J6/L6</f>
        <v>0.41547272673175417</v>
      </c>
      <c r="L6" s="17">
        <v>206362140</v>
      </c>
      <c r="M6" s="21">
        <f>L6/J6</f>
        <v>2.4068968566633258</v>
      </c>
      <c r="N6" s="17">
        <v>438209262</v>
      </c>
      <c r="O6" s="17">
        <f>L6+N6</f>
        <v>644571402</v>
      </c>
    </row>
    <row r="7" spans="1:15" ht="15" customHeight="1">
      <c r="A7" s="130" t="s">
        <v>88</v>
      </c>
      <c r="B7" s="13">
        <v>43245</v>
      </c>
      <c r="C7" s="14">
        <v>0.7</v>
      </c>
      <c r="D7" s="24">
        <v>64</v>
      </c>
      <c r="E7" s="24">
        <v>62</v>
      </c>
      <c r="F7" s="24">
        <v>47</v>
      </c>
      <c r="G7" s="24">
        <v>27</v>
      </c>
      <c r="H7" s="16">
        <f>O7/I7</f>
        <v>1.4289224763636363</v>
      </c>
      <c r="I7" s="17">
        <v>275000000</v>
      </c>
      <c r="J7" s="17">
        <v>84420489</v>
      </c>
      <c r="K7" s="20">
        <f>J7/L7</f>
        <v>0.39491730155890103</v>
      </c>
      <c r="L7" s="17">
        <v>213767512</v>
      </c>
      <c r="M7" s="21">
        <f>L7/J7</f>
        <v>2.5321757138838654</v>
      </c>
      <c r="N7" s="17">
        <v>179186169</v>
      </c>
      <c r="O7" s="17">
        <f>L7+N7</f>
        <v>392953681</v>
      </c>
    </row>
    <row r="8" spans="1:15" ht="15" customHeight="1">
      <c r="A8" s="131" t="s">
        <v>39</v>
      </c>
      <c r="B8" s="13">
        <v>43665</v>
      </c>
      <c r="C8" s="14">
        <v>0.52</v>
      </c>
      <c r="D8" s="24">
        <v>60</v>
      </c>
      <c r="E8" s="24">
        <v>55</v>
      </c>
      <c r="F8" s="24">
        <v>48</v>
      </c>
      <c r="G8" s="24">
        <v>38</v>
      </c>
      <c r="H8" s="16">
        <f>O8/I8</f>
        <v>6.3728592076923078</v>
      </c>
      <c r="I8" s="17">
        <v>260000000</v>
      </c>
      <c r="J8" s="17">
        <v>191770759</v>
      </c>
      <c r="K8" s="20">
        <f>J8/L8</f>
        <v>0.35275448705123091</v>
      </c>
      <c r="L8" s="17">
        <v>543638043</v>
      </c>
      <c r="M8" s="21">
        <f>L8/J8</f>
        <v>2.8348328276679555</v>
      </c>
      <c r="N8" s="17">
        <v>1113305351</v>
      </c>
      <c r="O8" s="97">
        <f>L8+N8</f>
        <v>1656943394</v>
      </c>
    </row>
    <row r="9" spans="1:15" ht="15" customHeight="1">
      <c r="A9" s="131" t="s">
        <v>164</v>
      </c>
      <c r="B9" s="13">
        <v>41789</v>
      </c>
      <c r="C9" s="14">
        <v>0.53</v>
      </c>
      <c r="D9" s="24">
        <v>57</v>
      </c>
      <c r="E9" s="24">
        <v>56</v>
      </c>
      <c r="F9" s="24">
        <v>50</v>
      </c>
      <c r="G9" s="24">
        <v>38</v>
      </c>
      <c r="H9" s="16">
        <f>O9/I9</f>
        <v>4.2141099166666667</v>
      </c>
      <c r="I9" s="17">
        <v>180000000</v>
      </c>
      <c r="J9" s="17">
        <v>69431298</v>
      </c>
      <c r="K9" s="20">
        <f>J9/L9</f>
        <v>0.28760693129770915</v>
      </c>
      <c r="L9" s="17">
        <v>241410378</v>
      </c>
      <c r="M9" s="21">
        <f>L9/J9</f>
        <v>3.476967663776068</v>
      </c>
      <c r="N9" s="17">
        <v>517129407</v>
      </c>
      <c r="O9" s="17">
        <f>L9+N9</f>
        <v>758539785</v>
      </c>
    </row>
    <row r="10" spans="1:15" ht="15" customHeight="1">
      <c r="A10" s="130" t="s">
        <v>6</v>
      </c>
      <c r="B10" s="13">
        <v>42333</v>
      </c>
      <c r="C10" s="14">
        <v>0.76</v>
      </c>
      <c r="D10" s="24">
        <v>66</v>
      </c>
      <c r="E10" s="24">
        <v>66</v>
      </c>
      <c r="F10" s="24">
        <v>52</v>
      </c>
      <c r="G10" s="24">
        <v>12</v>
      </c>
      <c r="H10" s="16">
        <f>O10/I10</f>
        <v>1.7717742453333334</v>
      </c>
      <c r="I10" s="17">
        <v>187500000</v>
      </c>
      <c r="J10" s="17">
        <v>39155217</v>
      </c>
      <c r="K10" s="20">
        <f>J10/L10</f>
        <v>0.31810978272950086</v>
      </c>
      <c r="L10" s="17">
        <v>123087120</v>
      </c>
      <c r="M10" s="21">
        <f>L10/J10</f>
        <v>3.1435688378383908</v>
      </c>
      <c r="N10" s="17">
        <v>209120551</v>
      </c>
      <c r="O10" s="17">
        <f>L10+N10</f>
        <v>332207671</v>
      </c>
    </row>
    <row r="11" spans="1:15" ht="15" customHeight="1">
      <c r="A11" s="131" t="s">
        <v>249</v>
      </c>
      <c r="B11" s="13">
        <v>43819</v>
      </c>
      <c r="C11" s="14">
        <v>0.51</v>
      </c>
      <c r="D11" s="24">
        <v>61</v>
      </c>
      <c r="E11" s="24">
        <v>53</v>
      </c>
      <c r="F11" s="24">
        <v>53</v>
      </c>
      <c r="G11" s="24">
        <v>32</v>
      </c>
      <c r="H11" s="16">
        <f>O11/I11</f>
        <v>3.9059790836363635</v>
      </c>
      <c r="I11" s="17">
        <v>275000000</v>
      </c>
      <c r="J11" s="17">
        <v>177383864</v>
      </c>
      <c r="K11" s="20">
        <f>J11/L11</f>
        <v>0.34429927948608607</v>
      </c>
      <c r="L11" s="17">
        <v>515202542</v>
      </c>
      <c r="M11" s="21">
        <f>L11/J11</f>
        <v>2.9044498771320035</v>
      </c>
      <c r="N11" s="17">
        <v>558941706</v>
      </c>
      <c r="O11" s="17">
        <f>L11+N11</f>
        <v>1074144248</v>
      </c>
    </row>
    <row r="12" spans="1:15" ht="15" customHeight="1">
      <c r="A12" s="131" t="s">
        <v>22</v>
      </c>
      <c r="B12" s="13">
        <v>42811</v>
      </c>
      <c r="C12" s="14">
        <v>0.71</v>
      </c>
      <c r="D12" s="15">
        <v>67</v>
      </c>
      <c r="E12" s="15">
        <v>65</v>
      </c>
      <c r="F12" s="23">
        <v>55</v>
      </c>
      <c r="G12" s="24">
        <v>38</v>
      </c>
      <c r="H12" s="16">
        <f>O12/I12</f>
        <v>6.089258438554217</v>
      </c>
      <c r="I12" s="17">
        <v>207500000</v>
      </c>
      <c r="J12" s="18">
        <v>174750616</v>
      </c>
      <c r="K12" s="20">
        <f>J12/L12</f>
        <v>0.34671766814331501</v>
      </c>
      <c r="L12" s="17">
        <v>504014165</v>
      </c>
      <c r="M12" s="21">
        <f>L12/J12</f>
        <v>2.8841910634523886</v>
      </c>
      <c r="N12" s="17">
        <v>759506961</v>
      </c>
      <c r="O12" s="17">
        <f>L12+N12</f>
        <v>1263521126</v>
      </c>
    </row>
    <row r="13" spans="1:15" ht="15" customHeight="1">
      <c r="A13" s="130" t="s">
        <v>151</v>
      </c>
      <c r="B13" s="13">
        <v>44078</v>
      </c>
      <c r="C13" s="14">
        <v>0.72</v>
      </c>
      <c r="D13" s="15">
        <v>67</v>
      </c>
      <c r="E13" s="24">
        <v>66</v>
      </c>
      <c r="F13" s="24">
        <v>55</v>
      </c>
      <c r="G13" s="24">
        <v>0</v>
      </c>
      <c r="H13" s="16">
        <f>O13/I13</f>
        <v>0.34981858500000002</v>
      </c>
      <c r="I13" s="17">
        <v>200000000</v>
      </c>
      <c r="J13" s="17">
        <v>0</v>
      </c>
      <c r="K13" s="20">
        <v>0</v>
      </c>
      <c r="L13" s="17">
        <v>0</v>
      </c>
      <c r="M13" s="21">
        <v>0</v>
      </c>
      <c r="N13" s="17">
        <v>69963717</v>
      </c>
      <c r="O13" s="17">
        <f>L13+N13</f>
        <v>69963717</v>
      </c>
    </row>
    <row r="14" spans="1:15" ht="15" customHeight="1">
      <c r="A14" s="131" t="s">
        <v>11</v>
      </c>
      <c r="B14" s="13">
        <v>42475</v>
      </c>
      <c r="C14" s="14">
        <v>0.95</v>
      </c>
      <c r="D14" s="15">
        <v>77</v>
      </c>
      <c r="E14" s="15">
        <v>77</v>
      </c>
      <c r="F14" s="23">
        <v>60</v>
      </c>
      <c r="G14" s="24">
        <v>40</v>
      </c>
      <c r="H14" s="16">
        <f>O14/I14</f>
        <v>5.5231462857142857</v>
      </c>
      <c r="I14" s="17">
        <v>175000000</v>
      </c>
      <c r="J14" s="17">
        <v>103261464</v>
      </c>
      <c r="K14" s="20">
        <f>J14/L14</f>
        <v>0.28368446544600356</v>
      </c>
      <c r="L14" s="17">
        <v>364001123</v>
      </c>
      <c r="M14" s="21">
        <f>L14/J14</f>
        <v>3.5250432145722823</v>
      </c>
      <c r="N14" s="17">
        <v>602549477</v>
      </c>
      <c r="O14" s="17">
        <f>L14+N14</f>
        <v>966550600</v>
      </c>
    </row>
    <row r="15" spans="1:15" ht="15" customHeight="1">
      <c r="A15" s="131" t="s">
        <v>17</v>
      </c>
      <c r="B15" s="13">
        <v>42678</v>
      </c>
      <c r="C15" s="14">
        <v>0.89</v>
      </c>
      <c r="D15" s="24">
        <v>73</v>
      </c>
      <c r="E15" s="24">
        <v>72</v>
      </c>
      <c r="F15" s="24">
        <v>60</v>
      </c>
      <c r="G15" s="24">
        <v>24</v>
      </c>
      <c r="H15" s="16">
        <f>O15/I15</f>
        <v>4.1073842121212119</v>
      </c>
      <c r="I15" s="17">
        <v>165000000</v>
      </c>
      <c r="J15" s="17">
        <v>85058311</v>
      </c>
      <c r="K15" s="20">
        <f>J15/L15</f>
        <v>0.3656190208540232</v>
      </c>
      <c r="L15" s="17">
        <v>232641920</v>
      </c>
      <c r="M15" s="21">
        <f>L15/J15</f>
        <v>2.735087462529088</v>
      </c>
      <c r="N15" s="17">
        <v>445076475</v>
      </c>
      <c r="O15" s="17">
        <f>L15+N15</f>
        <v>677718395</v>
      </c>
    </row>
    <row r="16" spans="1:15" ht="15" customHeight="1">
      <c r="A16" s="132" t="s">
        <v>25</v>
      </c>
      <c r="B16" s="13">
        <v>42902</v>
      </c>
      <c r="C16" s="14">
        <v>0.69</v>
      </c>
      <c r="D16" s="15">
        <v>61</v>
      </c>
      <c r="E16" s="15">
        <v>59</v>
      </c>
      <c r="F16" s="23">
        <v>60</v>
      </c>
      <c r="G16" s="24">
        <v>24</v>
      </c>
      <c r="H16" s="16">
        <f>O16/I16</f>
        <v>2.1938848514285714</v>
      </c>
      <c r="I16" s="17">
        <v>175000000</v>
      </c>
      <c r="J16" s="17">
        <v>53688680</v>
      </c>
      <c r="K16" s="20">
        <f>J16/L16</f>
        <v>0.3511333452342712</v>
      </c>
      <c r="L16" s="17">
        <v>152901115</v>
      </c>
      <c r="M16" s="21">
        <f>L16/J16</f>
        <v>2.8479209211327228</v>
      </c>
      <c r="N16" s="17">
        <v>231028734</v>
      </c>
      <c r="O16" s="17">
        <f>L16+N16</f>
        <v>383929849</v>
      </c>
    </row>
    <row r="17" spans="1:15" ht="15" customHeight="1">
      <c r="A17" s="132" t="s">
        <v>28</v>
      </c>
      <c r="B17" s="13">
        <v>43453</v>
      </c>
      <c r="C17" s="14">
        <v>0.79</v>
      </c>
      <c r="D17" s="24">
        <v>73</v>
      </c>
      <c r="E17" s="24">
        <v>66</v>
      </c>
      <c r="F17" s="24">
        <v>60</v>
      </c>
      <c r="G17" s="24">
        <v>21</v>
      </c>
      <c r="H17" s="16">
        <f>O17/I17</f>
        <v>2.6885318692307694</v>
      </c>
      <c r="I17" s="17">
        <v>130000000</v>
      </c>
      <c r="J17" s="17">
        <v>23523121</v>
      </c>
      <c r="K17" s="20">
        <f>J17/L17</f>
        <v>0.13681794391228336</v>
      </c>
      <c r="L17" s="17">
        <v>171930087</v>
      </c>
      <c r="M17" s="21">
        <f>L17/J17</f>
        <v>7.3089828088713231</v>
      </c>
      <c r="N17" s="17">
        <v>177579056</v>
      </c>
      <c r="O17" s="17">
        <f>L17+N17</f>
        <v>349509143</v>
      </c>
    </row>
    <row r="18" spans="1:15" ht="15" customHeight="1">
      <c r="A18" s="131" t="s">
        <v>83</v>
      </c>
      <c r="B18" s="13">
        <v>41082</v>
      </c>
      <c r="C18" s="14">
        <v>0.78</v>
      </c>
      <c r="D18" s="24">
        <v>70</v>
      </c>
      <c r="E18" s="24">
        <v>69</v>
      </c>
      <c r="F18" s="24">
        <v>64</v>
      </c>
      <c r="G18" s="24">
        <v>31</v>
      </c>
      <c r="H18" s="16">
        <f>O18/I18</f>
        <v>2.9212814216216216</v>
      </c>
      <c r="I18" s="17">
        <v>185000000</v>
      </c>
      <c r="J18" s="17">
        <v>66323594</v>
      </c>
      <c r="K18" s="20">
        <f>J18/L18</f>
        <v>0.27951238032618125</v>
      </c>
      <c r="L18" s="17">
        <v>237283207</v>
      </c>
      <c r="M18" s="21">
        <f>L18/J18</f>
        <v>3.577659060514724</v>
      </c>
      <c r="N18" s="17">
        <v>303153856</v>
      </c>
      <c r="O18" s="17">
        <f>L18+N18</f>
        <v>540437063</v>
      </c>
    </row>
    <row r="19" spans="1:15" ht="15" customHeight="1">
      <c r="A19" s="131" t="s">
        <v>128</v>
      </c>
      <c r="B19" s="13">
        <v>41446</v>
      </c>
      <c r="C19" s="14">
        <v>0.8</v>
      </c>
      <c r="D19" s="24">
        <v>68</v>
      </c>
      <c r="E19" s="24">
        <v>65</v>
      </c>
      <c r="F19" s="24">
        <v>64</v>
      </c>
      <c r="G19" s="24">
        <v>31</v>
      </c>
      <c r="H19" s="16">
        <f>O19/I19</f>
        <v>3.721147185</v>
      </c>
      <c r="I19" s="17">
        <v>200000000</v>
      </c>
      <c r="J19" s="17">
        <v>82429469</v>
      </c>
      <c r="K19" s="20">
        <f>J19/L19</f>
        <v>0.30700815832787209</v>
      </c>
      <c r="L19" s="17">
        <v>268492764</v>
      </c>
      <c r="M19" s="21">
        <f>L19/J19</f>
        <v>3.2572424311019157</v>
      </c>
      <c r="N19" s="17">
        <v>475736673</v>
      </c>
      <c r="O19" s="17">
        <f>L19+N19</f>
        <v>744229437</v>
      </c>
    </row>
    <row r="20" spans="1:15" ht="15" customHeight="1">
      <c r="A20" s="131" t="s">
        <v>142</v>
      </c>
      <c r="B20" s="13">
        <v>42125</v>
      </c>
      <c r="C20" s="14">
        <v>0.75</v>
      </c>
      <c r="D20" s="24">
        <v>68</v>
      </c>
      <c r="E20" s="24">
        <v>66</v>
      </c>
      <c r="F20" s="24">
        <v>64</v>
      </c>
      <c r="G20" s="24">
        <v>33</v>
      </c>
      <c r="H20" s="16">
        <f>O20/I20</f>
        <v>5.6216147760000004</v>
      </c>
      <c r="I20" s="17">
        <v>250000000</v>
      </c>
      <c r="J20" s="17">
        <v>191271109</v>
      </c>
      <c r="K20" s="20">
        <f>J20/L20</f>
        <v>0.41670732845620179</v>
      </c>
      <c r="L20" s="17">
        <v>459005868</v>
      </c>
      <c r="M20" s="21">
        <f>L20/J20</f>
        <v>2.3997658109463882</v>
      </c>
      <c r="N20" s="17">
        <v>946397826</v>
      </c>
      <c r="O20" s="17">
        <f>L20+N20</f>
        <v>1405403694</v>
      </c>
    </row>
    <row r="21" spans="1:15" ht="15" customHeight="1">
      <c r="A21" s="131" t="s">
        <v>36</v>
      </c>
      <c r="B21" s="13">
        <v>43084</v>
      </c>
      <c r="C21" s="14">
        <v>0.9</v>
      </c>
      <c r="D21" s="24">
        <v>81</v>
      </c>
      <c r="E21" s="24">
        <v>84</v>
      </c>
      <c r="F21" s="24">
        <v>64</v>
      </c>
      <c r="G21" s="24">
        <v>33</v>
      </c>
      <c r="H21" s="16">
        <f>O21/I21</f>
        <v>5.0860301106870232</v>
      </c>
      <c r="I21" s="17">
        <v>262000000</v>
      </c>
      <c r="J21" s="17">
        <v>220009584</v>
      </c>
      <c r="K21" s="20">
        <f>J21/L21</f>
        <v>0.35475038494464189</v>
      </c>
      <c r="L21" s="17">
        <v>620181382</v>
      </c>
      <c r="M21" s="21">
        <f>L21/J21</f>
        <v>2.8188834810032639</v>
      </c>
      <c r="N21" s="17">
        <v>712358507</v>
      </c>
      <c r="O21" s="17">
        <f>L21+N21</f>
        <v>1332539889</v>
      </c>
    </row>
    <row r="22" spans="1:15" ht="15" customHeight="1">
      <c r="A22" s="131" t="s">
        <v>143</v>
      </c>
      <c r="B22" s="13">
        <v>42202</v>
      </c>
      <c r="C22" s="14">
        <v>0.83</v>
      </c>
      <c r="D22" s="24">
        <v>69</v>
      </c>
      <c r="E22" s="24">
        <v>64</v>
      </c>
      <c r="F22" s="24">
        <v>68</v>
      </c>
      <c r="G22" s="24">
        <v>26</v>
      </c>
      <c r="H22" s="16">
        <f>O22/I22</f>
        <v>3.9947074230769233</v>
      </c>
      <c r="I22" s="17">
        <v>130000000</v>
      </c>
      <c r="J22" s="17">
        <v>57225526</v>
      </c>
      <c r="K22" s="20">
        <f>J22/L22</f>
        <v>0.3175629251464645</v>
      </c>
      <c r="L22" s="17">
        <v>180202163</v>
      </c>
      <c r="M22" s="21">
        <f>L22/J22</f>
        <v>3.1489822042002724</v>
      </c>
      <c r="N22" s="17">
        <v>339109802</v>
      </c>
      <c r="O22" s="17">
        <f>L22+N22</f>
        <v>519311965</v>
      </c>
    </row>
    <row r="23" spans="1:15" ht="15" customHeight="1">
      <c r="A23" s="131" t="s">
        <v>23</v>
      </c>
      <c r="B23" s="13">
        <v>42860</v>
      </c>
      <c r="C23" s="14">
        <v>0.85</v>
      </c>
      <c r="D23" s="24">
        <v>73</v>
      </c>
      <c r="E23" s="24">
        <v>67</v>
      </c>
      <c r="F23" s="24">
        <v>68</v>
      </c>
      <c r="G23" s="24">
        <v>33</v>
      </c>
      <c r="H23" s="16">
        <f>O23/I23</f>
        <v>4.3187304449999999</v>
      </c>
      <c r="I23" s="17">
        <v>200000000</v>
      </c>
      <c r="J23" s="17">
        <v>146510104</v>
      </c>
      <c r="K23" s="20">
        <f>J23/L23</f>
        <v>0.3758470498404311</v>
      </c>
      <c r="L23" s="17">
        <v>389813101</v>
      </c>
      <c r="M23" s="21">
        <f>L23/J23</f>
        <v>2.6606567762725772</v>
      </c>
      <c r="N23" s="17">
        <v>473932988</v>
      </c>
      <c r="O23" s="17">
        <f>L23+N23</f>
        <v>863746089</v>
      </c>
    </row>
    <row r="24" spans="1:15" ht="15" customHeight="1">
      <c r="A24" s="131" t="s">
        <v>38</v>
      </c>
      <c r="B24" s="13">
        <v>43609</v>
      </c>
      <c r="C24" s="14">
        <v>0.56999999999999995</v>
      </c>
      <c r="D24" s="24">
        <v>59</v>
      </c>
      <c r="E24" s="24">
        <v>53</v>
      </c>
      <c r="F24" s="24">
        <v>69</v>
      </c>
      <c r="G24" s="24">
        <v>52</v>
      </c>
      <c r="H24" s="16">
        <f>O24/I24</f>
        <v>5.7414970109289616</v>
      </c>
      <c r="I24" s="17">
        <v>183000000</v>
      </c>
      <c r="J24" s="17">
        <v>91500929</v>
      </c>
      <c r="K24" s="20">
        <f>J24/L24</f>
        <v>0.25734371345896995</v>
      </c>
      <c r="L24" s="17">
        <v>355559216</v>
      </c>
      <c r="M24" s="21">
        <f>L24/J24</f>
        <v>3.8858536179452341</v>
      </c>
      <c r="N24" s="17">
        <v>695134737</v>
      </c>
      <c r="O24" s="17">
        <f>L24+N24</f>
        <v>1050693953</v>
      </c>
    </row>
    <row r="25" spans="1:15" ht="15" customHeight="1">
      <c r="A25" s="131" t="s">
        <v>7</v>
      </c>
      <c r="B25" s="13">
        <v>42538</v>
      </c>
      <c r="C25" s="14">
        <v>0.94</v>
      </c>
      <c r="D25" s="15">
        <v>77</v>
      </c>
      <c r="E25" s="15">
        <v>77</v>
      </c>
      <c r="F25" s="23">
        <v>71</v>
      </c>
      <c r="G25" s="24">
        <v>41</v>
      </c>
      <c r="H25" s="16">
        <f>O25/I25</f>
        <v>5.1428544450000002</v>
      </c>
      <c r="I25" s="17">
        <v>200000000</v>
      </c>
      <c r="J25" s="17">
        <v>135060273</v>
      </c>
      <c r="K25" s="20">
        <f>J25/L25</f>
        <v>0.27773289298028364</v>
      </c>
      <c r="L25" s="17">
        <v>486295561</v>
      </c>
      <c r="M25" s="21">
        <f>L25/J25</f>
        <v>3.600581800985994</v>
      </c>
      <c r="N25" s="17">
        <v>542275328</v>
      </c>
      <c r="O25" s="17">
        <f>L25+N25</f>
        <v>1028570889</v>
      </c>
    </row>
    <row r="26" spans="1:15" ht="15" customHeight="1">
      <c r="A26" s="131" t="s">
        <v>90</v>
      </c>
      <c r="B26" s="13">
        <v>43266</v>
      </c>
      <c r="C26" s="14">
        <v>0.93</v>
      </c>
      <c r="D26" s="24">
        <v>78</v>
      </c>
      <c r="E26" s="24">
        <v>80</v>
      </c>
      <c r="F26" s="24">
        <v>71</v>
      </c>
      <c r="G26" s="24">
        <v>52</v>
      </c>
      <c r="H26" s="16">
        <f>O26/I26</f>
        <v>6.213852975</v>
      </c>
      <c r="I26" s="17">
        <v>200000000</v>
      </c>
      <c r="J26" s="17">
        <v>182687905</v>
      </c>
      <c r="K26" s="20">
        <f>J26/L26</f>
        <v>0.30020345347864513</v>
      </c>
      <c r="L26" s="17">
        <v>608546980</v>
      </c>
      <c r="M26" s="21">
        <f>L26/J26</f>
        <v>3.3310742711730148</v>
      </c>
      <c r="N26" s="17">
        <v>634223615</v>
      </c>
      <c r="O26" s="17">
        <f>L26+N26</f>
        <v>1242770595</v>
      </c>
    </row>
    <row r="27" spans="1:15" ht="15" customHeight="1">
      <c r="A27" s="132" t="s">
        <v>84</v>
      </c>
      <c r="B27" s="13">
        <v>43315</v>
      </c>
      <c r="C27" s="14">
        <v>0.73</v>
      </c>
      <c r="D27" s="24">
        <v>62</v>
      </c>
      <c r="E27" s="24">
        <v>60</v>
      </c>
      <c r="F27" s="24">
        <v>72</v>
      </c>
      <c r="G27" s="24">
        <v>17</v>
      </c>
      <c r="H27" s="16">
        <f>O27/I27</f>
        <v>2.8249196714285714</v>
      </c>
      <c r="I27" s="17">
        <v>70000000</v>
      </c>
      <c r="J27" s="17">
        <v>24585139</v>
      </c>
      <c r="K27" s="20">
        <f>J27/L27</f>
        <v>0.24779648835909376</v>
      </c>
      <c r="L27" s="17">
        <v>99215042</v>
      </c>
      <c r="M27" s="21">
        <f>L27/J27</f>
        <v>4.0355696992398542</v>
      </c>
      <c r="N27" s="17">
        <v>98529335</v>
      </c>
      <c r="O27" s="17">
        <f>L27+N27</f>
        <v>197744377</v>
      </c>
    </row>
    <row r="28" spans="1:15" ht="15" customHeight="1">
      <c r="A28" s="131" t="s">
        <v>141</v>
      </c>
      <c r="B28" s="13">
        <v>41852</v>
      </c>
      <c r="C28" s="14">
        <v>0.91</v>
      </c>
      <c r="D28" s="24">
        <v>78</v>
      </c>
      <c r="E28" s="24">
        <v>76</v>
      </c>
      <c r="F28" s="24">
        <v>73</v>
      </c>
      <c r="G28" s="24">
        <v>33</v>
      </c>
      <c r="H28" s="16">
        <f>O28/I28</f>
        <v>4.5489919352941177</v>
      </c>
      <c r="I28" s="17">
        <v>170000000</v>
      </c>
      <c r="J28" s="17">
        <v>94320883</v>
      </c>
      <c r="K28" s="20">
        <f>J28/L28</f>
        <v>0.28309576062664665</v>
      </c>
      <c r="L28" s="17">
        <v>333176600</v>
      </c>
      <c r="M28" s="21">
        <f>L28/J28</f>
        <v>3.5323736314046168</v>
      </c>
      <c r="N28" s="17">
        <v>440152029</v>
      </c>
      <c r="O28" s="17">
        <f>L28+N28</f>
        <v>773328629</v>
      </c>
    </row>
    <row r="29" spans="1:15" ht="15" customHeight="1">
      <c r="A29" s="131" t="s">
        <v>150</v>
      </c>
      <c r="B29" s="13">
        <v>42076</v>
      </c>
      <c r="C29" s="14">
        <v>0.85</v>
      </c>
      <c r="D29" s="24">
        <v>72</v>
      </c>
      <c r="E29" s="24">
        <v>67</v>
      </c>
      <c r="F29" s="24">
        <v>73</v>
      </c>
      <c r="G29" s="24">
        <v>31</v>
      </c>
      <c r="H29" s="16">
        <f>O29/I29</f>
        <v>5.721203715789474</v>
      </c>
      <c r="I29" s="17">
        <v>95000000</v>
      </c>
      <c r="J29" s="17">
        <v>67877361</v>
      </c>
      <c r="K29" s="20">
        <f>J29/L29</f>
        <v>0.33744421793672946</v>
      </c>
      <c r="L29" s="17">
        <v>201151353</v>
      </c>
      <c r="M29" s="21">
        <f>L29/J29</f>
        <v>2.9634527629911833</v>
      </c>
      <c r="N29" s="17">
        <v>342363000</v>
      </c>
      <c r="O29" s="17">
        <f>L29+N29</f>
        <v>543514353</v>
      </c>
    </row>
    <row r="30" spans="1:15" ht="15" customHeight="1">
      <c r="A30" s="131" t="s">
        <v>179</v>
      </c>
      <c r="B30" s="13">
        <v>42356</v>
      </c>
      <c r="C30" s="14">
        <v>0.93</v>
      </c>
      <c r="D30" s="24">
        <v>83</v>
      </c>
      <c r="E30" s="24">
        <v>80</v>
      </c>
      <c r="F30" s="24">
        <v>73</v>
      </c>
      <c r="G30" s="24">
        <v>45</v>
      </c>
      <c r="H30" s="16">
        <f>O30/I30</f>
        <v>7.9854193976833976</v>
      </c>
      <c r="I30" s="17">
        <v>259000000</v>
      </c>
      <c r="J30" s="17">
        <v>247966675</v>
      </c>
      <c r="K30" s="20">
        <f>J30/L30</f>
        <v>0.26473436035065895</v>
      </c>
      <c r="L30" s="17">
        <v>936662225</v>
      </c>
      <c r="M30" s="21">
        <f>L30/J30</f>
        <v>3.7773713947650425</v>
      </c>
      <c r="N30" s="17">
        <v>1131561399</v>
      </c>
      <c r="O30" s="17">
        <f>L30+N30</f>
        <v>2068223624</v>
      </c>
    </row>
    <row r="31" spans="1:15" ht="15" customHeight="1">
      <c r="A31" s="131" t="s">
        <v>12</v>
      </c>
      <c r="B31" s="13">
        <v>42496</v>
      </c>
      <c r="C31" s="14">
        <v>0.91</v>
      </c>
      <c r="D31" s="24">
        <v>77</v>
      </c>
      <c r="E31" s="24">
        <v>75</v>
      </c>
      <c r="F31" s="24">
        <v>74</v>
      </c>
      <c r="G31" s="24">
        <v>31</v>
      </c>
      <c r="H31" s="16">
        <f>O31/I31</f>
        <v>4.6132179799999999</v>
      </c>
      <c r="I31" s="17">
        <v>250000000</v>
      </c>
      <c r="J31" s="17">
        <v>179139142</v>
      </c>
      <c r="K31" s="20">
        <f>J31/L31</f>
        <v>0.43897577164862062</v>
      </c>
      <c r="L31" s="17">
        <v>408084349</v>
      </c>
      <c r="M31" s="21">
        <f>L31/J31</f>
        <v>2.2780300521926136</v>
      </c>
      <c r="N31" s="17">
        <v>745220146</v>
      </c>
      <c r="O31" s="17">
        <f>L31+N31</f>
        <v>1153304495</v>
      </c>
    </row>
    <row r="32" spans="1:15" ht="15" customHeight="1">
      <c r="A32" s="131" t="s">
        <v>34</v>
      </c>
      <c r="B32" s="13">
        <v>43532</v>
      </c>
      <c r="C32" s="14">
        <v>0.78</v>
      </c>
      <c r="D32" s="24">
        <v>68</v>
      </c>
      <c r="E32" s="24">
        <v>64</v>
      </c>
      <c r="F32" s="24">
        <v>74</v>
      </c>
      <c r="G32" s="24">
        <v>31</v>
      </c>
      <c r="H32" s="16">
        <f>O32/I32</f>
        <v>7.4228604868421053</v>
      </c>
      <c r="I32" s="17">
        <v>152000000</v>
      </c>
      <c r="J32" s="17">
        <v>153433423</v>
      </c>
      <c r="K32" s="20">
        <f>J32/L32</f>
        <v>0.35947211038354793</v>
      </c>
      <c r="L32" s="17">
        <v>426829839</v>
      </c>
      <c r="M32" s="21">
        <f>L32/J32</f>
        <v>2.7818569817086072</v>
      </c>
      <c r="N32" s="17">
        <v>701444955</v>
      </c>
      <c r="O32" s="17">
        <f>L32+N32</f>
        <v>1128274794</v>
      </c>
    </row>
    <row r="33" spans="1:15" ht="15" customHeight="1">
      <c r="A33" s="131" t="s">
        <v>282</v>
      </c>
      <c r="B33" s="13">
        <v>43791</v>
      </c>
      <c r="C33" s="14">
        <v>0.78</v>
      </c>
      <c r="D33" s="24">
        <v>67</v>
      </c>
      <c r="E33" s="24">
        <v>64</v>
      </c>
      <c r="F33" s="24">
        <v>74</v>
      </c>
      <c r="G33" s="24">
        <v>45</v>
      </c>
      <c r="H33" s="16">
        <f>O33/I33</f>
        <v>9.6668454399999995</v>
      </c>
      <c r="I33" s="17">
        <v>150000000</v>
      </c>
      <c r="J33" s="17">
        <v>130263358</v>
      </c>
      <c r="K33" s="20">
        <f>J33/L33</f>
        <v>0.27287515675279655</v>
      </c>
      <c r="L33" s="17">
        <v>477373461</v>
      </c>
      <c r="M33" s="21">
        <f>L33/J33</f>
        <v>3.6646795256114926</v>
      </c>
      <c r="N33" s="17">
        <v>972653355</v>
      </c>
      <c r="O33" s="17">
        <f>L33+N33</f>
        <v>1450026816</v>
      </c>
    </row>
    <row r="34" spans="1:15" ht="15" customHeight="1">
      <c r="A34" s="130" t="s">
        <v>153</v>
      </c>
      <c r="B34" s="13">
        <v>40739</v>
      </c>
      <c r="C34" s="14">
        <v>0.91</v>
      </c>
      <c r="D34" s="24">
        <v>72</v>
      </c>
      <c r="E34" s="24">
        <v>74</v>
      </c>
      <c r="F34" s="24">
        <v>75</v>
      </c>
      <c r="G34" s="24">
        <v>10</v>
      </c>
      <c r="H34" s="16">
        <f>O34/I34</f>
        <v>1.6623809666666667</v>
      </c>
      <c r="I34" s="17">
        <v>30000000</v>
      </c>
      <c r="J34" s="17">
        <v>7857076</v>
      </c>
      <c r="K34" s="20">
        <f>J34/L34</f>
        <v>0.29435137789353749</v>
      </c>
      <c r="L34" s="17">
        <v>26692846</v>
      </c>
      <c r="M34" s="21">
        <f>L34/J34</f>
        <v>3.3973002170273014</v>
      </c>
      <c r="N34" s="17">
        <v>23178583</v>
      </c>
      <c r="O34" s="17">
        <f>L34+N34</f>
        <v>49871429</v>
      </c>
    </row>
    <row r="35" spans="1:15" ht="15" customHeight="1">
      <c r="A35" s="131" t="s">
        <v>18</v>
      </c>
      <c r="B35" s="13">
        <v>42720</v>
      </c>
      <c r="C35" s="14">
        <v>0.83</v>
      </c>
      <c r="D35" s="15">
        <v>75</v>
      </c>
      <c r="E35" s="15">
        <v>65</v>
      </c>
      <c r="F35" s="23">
        <v>75</v>
      </c>
      <c r="G35" s="24">
        <v>34</v>
      </c>
      <c r="H35" s="16">
        <f>O35/I35</f>
        <v>4.8002603318181816</v>
      </c>
      <c r="I35" s="17">
        <v>220000000</v>
      </c>
      <c r="J35" s="17">
        <v>155081681</v>
      </c>
      <c r="K35" s="20">
        <f>J35/L35</f>
        <v>0.29140978768948828</v>
      </c>
      <c r="L35" s="17">
        <v>532177324</v>
      </c>
      <c r="M35" s="21">
        <f>L35/J35</f>
        <v>3.4315937289846632</v>
      </c>
      <c r="N35" s="17">
        <v>523879949</v>
      </c>
      <c r="O35" s="17">
        <f>L35+N35</f>
        <v>1056057273</v>
      </c>
    </row>
    <row r="36" spans="1:15" ht="15" customHeight="1">
      <c r="A36" s="131" t="s">
        <v>29</v>
      </c>
      <c r="B36" s="13">
        <v>43287</v>
      </c>
      <c r="C36" s="14">
        <v>0.87</v>
      </c>
      <c r="D36" s="24">
        <v>70</v>
      </c>
      <c r="E36" s="24">
        <v>70</v>
      </c>
      <c r="F36" s="24">
        <v>75</v>
      </c>
      <c r="G36" s="24">
        <v>31</v>
      </c>
      <c r="H36" s="16">
        <f>O36/I36</f>
        <v>3.8432384074074073</v>
      </c>
      <c r="I36" s="17">
        <v>162000000</v>
      </c>
      <c r="J36" s="17">
        <v>75812205</v>
      </c>
      <c r="K36" s="20">
        <f>J36/L36</f>
        <v>0.34993143740415938</v>
      </c>
      <c r="L36" s="17">
        <v>216648740</v>
      </c>
      <c r="M36" s="21">
        <f>L36/J36</f>
        <v>2.8577026614646019</v>
      </c>
      <c r="N36" s="17">
        <v>405955882</v>
      </c>
      <c r="O36" s="17">
        <f>L36+N36</f>
        <v>622604622</v>
      </c>
    </row>
    <row r="37" spans="1:15" ht="15" customHeight="1">
      <c r="A37" s="131" t="s">
        <v>137</v>
      </c>
      <c r="B37" s="13">
        <v>41033</v>
      </c>
      <c r="C37" s="14">
        <v>0.91</v>
      </c>
      <c r="D37" s="24">
        <v>81</v>
      </c>
      <c r="E37" s="24">
        <v>69</v>
      </c>
      <c r="F37" s="24">
        <v>76</v>
      </c>
      <c r="G37" s="24">
        <v>52</v>
      </c>
      <c r="H37" s="16">
        <f>O37/I37</f>
        <v>6.9036954000000001</v>
      </c>
      <c r="I37" s="17">
        <v>220000000</v>
      </c>
      <c r="J37" s="17">
        <v>207438708</v>
      </c>
      <c r="K37" s="20">
        <f>J37/L37</f>
        <v>0.33277625048505438</v>
      </c>
      <c r="L37" s="17">
        <v>623357910</v>
      </c>
      <c r="M37" s="21">
        <f>L37/J37</f>
        <v>3.0050221388768001</v>
      </c>
      <c r="N37" s="17">
        <v>895455078</v>
      </c>
      <c r="O37" s="17">
        <f>L37+N37</f>
        <v>1518812988</v>
      </c>
    </row>
    <row r="38" spans="1:15" ht="15" customHeight="1">
      <c r="A38" s="131" t="s">
        <v>198</v>
      </c>
      <c r="B38" s="13">
        <v>43425</v>
      </c>
      <c r="C38" s="14">
        <v>0.88</v>
      </c>
      <c r="D38" s="24">
        <v>73</v>
      </c>
      <c r="E38" s="24">
        <v>71</v>
      </c>
      <c r="F38" s="24">
        <v>76</v>
      </c>
      <c r="G38" s="24">
        <v>19</v>
      </c>
      <c r="H38" s="16">
        <f>O38/I38</f>
        <v>3.0247083542857145</v>
      </c>
      <c r="I38" s="17">
        <v>175000000</v>
      </c>
      <c r="J38" s="17">
        <v>56237634</v>
      </c>
      <c r="K38" s="20">
        <f>J38/L38</f>
        <v>0.2796616216567972</v>
      </c>
      <c r="L38" s="17">
        <v>201091711</v>
      </c>
      <c r="M38" s="21">
        <f>L38/J38</f>
        <v>3.5757498439568067</v>
      </c>
      <c r="N38" s="17">
        <v>328232251</v>
      </c>
      <c r="O38" s="17">
        <f>L38+N38</f>
        <v>529323962</v>
      </c>
    </row>
    <row r="39" spans="1:15" ht="15" customHeight="1">
      <c r="A39" s="131" t="s">
        <v>35</v>
      </c>
      <c r="B39" s="13">
        <v>43147</v>
      </c>
      <c r="C39" s="14">
        <v>0.96</v>
      </c>
      <c r="D39" s="24">
        <v>83</v>
      </c>
      <c r="E39" s="24">
        <v>88</v>
      </c>
      <c r="F39" s="24">
        <v>80</v>
      </c>
      <c r="G39" s="24">
        <v>52</v>
      </c>
      <c r="H39" s="16">
        <f>O39/I39</f>
        <v>6.7340651999999999</v>
      </c>
      <c r="I39" s="17">
        <v>200000000</v>
      </c>
      <c r="J39" s="17">
        <v>202032512</v>
      </c>
      <c r="K39" s="20">
        <f>J39/L39</f>
        <v>0.28859331664357257</v>
      </c>
      <c r="L39" s="17">
        <v>700059566</v>
      </c>
      <c r="M39" s="21">
        <f>L39/J39</f>
        <v>3.465083708903248</v>
      </c>
      <c r="N39" s="17">
        <v>646753474</v>
      </c>
      <c r="O39" s="17">
        <f>L39+N39</f>
        <v>1346813040</v>
      </c>
    </row>
    <row r="40" spans="1:15" ht="15" customHeight="1">
      <c r="A40" s="131" t="s">
        <v>30</v>
      </c>
      <c r="B40" s="13">
        <v>43217</v>
      </c>
      <c r="C40" s="14">
        <v>0.85</v>
      </c>
      <c r="D40" s="24">
        <v>76</v>
      </c>
      <c r="E40" s="24">
        <v>68</v>
      </c>
      <c r="F40" s="24">
        <v>80</v>
      </c>
      <c r="G40" s="24">
        <v>45</v>
      </c>
      <c r="H40" s="16">
        <f>O40/I40</f>
        <v>5.7163986424581008</v>
      </c>
      <c r="I40" s="17">
        <v>358000000</v>
      </c>
      <c r="J40" s="17">
        <v>257698183</v>
      </c>
      <c r="K40" s="20">
        <f>J40/L40</f>
        <v>0.37962920680704215</v>
      </c>
      <c r="L40" s="17">
        <v>678815482</v>
      </c>
      <c r="M40" s="21">
        <f>L40/J40</f>
        <v>2.6341492753171645</v>
      </c>
      <c r="N40" s="17">
        <v>1367655232</v>
      </c>
      <c r="O40" s="17">
        <f>L40+N40</f>
        <v>2046470714</v>
      </c>
    </row>
    <row r="41" spans="1:15" ht="15" customHeight="1">
      <c r="A41" s="131" t="s">
        <v>26</v>
      </c>
      <c r="B41" s="13">
        <v>43042</v>
      </c>
      <c r="C41" s="14">
        <v>0.93</v>
      </c>
      <c r="D41" s="15">
        <v>76</v>
      </c>
      <c r="E41" s="15">
        <v>74</v>
      </c>
      <c r="F41" s="23">
        <v>84</v>
      </c>
      <c r="G41" s="24">
        <v>24</v>
      </c>
      <c r="H41" s="16">
        <f>O41/I41</f>
        <v>4.7443173666666665</v>
      </c>
      <c r="I41" s="17">
        <v>180000000</v>
      </c>
      <c r="J41" s="17">
        <v>122744989</v>
      </c>
      <c r="K41" s="20">
        <f>J41/L41</f>
        <v>0.38959453944092232</v>
      </c>
      <c r="L41" s="17">
        <v>315058289</v>
      </c>
      <c r="M41" s="21">
        <f>L41/J41</f>
        <v>2.5667710883089492</v>
      </c>
      <c r="N41" s="17">
        <v>538918837</v>
      </c>
      <c r="O41" s="17">
        <f>L41+N41</f>
        <v>853977126</v>
      </c>
    </row>
    <row r="42" spans="1:15" ht="15" customHeight="1">
      <c r="A42" s="134" t="s">
        <v>311</v>
      </c>
      <c r="B42" s="124">
        <v>44260</v>
      </c>
      <c r="C42" s="14">
        <v>0.94</v>
      </c>
      <c r="D42" s="15">
        <v>77</v>
      </c>
      <c r="E42" s="15">
        <v>75</v>
      </c>
      <c r="F42" s="15">
        <v>84</v>
      </c>
      <c r="G42" s="23">
        <v>3</v>
      </c>
      <c r="H42" s="16">
        <f>O42/I42</f>
        <v>1.0517638300000001</v>
      </c>
      <c r="I42" s="17">
        <v>100000000</v>
      </c>
      <c r="J42" s="17">
        <v>8502498</v>
      </c>
      <c r="K42" s="20">
        <f>J42/L42</f>
        <v>0.19206396263433978</v>
      </c>
      <c r="L42" s="17">
        <v>44269096</v>
      </c>
      <c r="M42" s="21">
        <f>L42/J42</f>
        <v>5.2065988136662895</v>
      </c>
      <c r="N42" s="17">
        <v>60907287</v>
      </c>
      <c r="O42" s="17">
        <f>L42+N42</f>
        <v>105176383</v>
      </c>
    </row>
    <row r="43" spans="1:15" ht="15" customHeight="1">
      <c r="A43" s="131" t="s">
        <v>146</v>
      </c>
      <c r="B43" s="13">
        <v>40506</v>
      </c>
      <c r="C43" s="14">
        <v>0.89</v>
      </c>
      <c r="D43" s="24">
        <v>75</v>
      </c>
      <c r="E43" s="24">
        <v>71</v>
      </c>
      <c r="F43" s="24">
        <v>85</v>
      </c>
      <c r="G43" s="24">
        <v>19</v>
      </c>
      <c r="H43" s="16">
        <f>O43/I43</f>
        <v>2.2761343692307694</v>
      </c>
      <c r="I43" s="17">
        <v>260000000</v>
      </c>
      <c r="J43" s="17">
        <v>48767052</v>
      </c>
      <c r="K43" s="20">
        <f>J43/L43</f>
        <v>0.2428372765015073</v>
      </c>
      <c r="L43" s="17">
        <v>200821936</v>
      </c>
      <c r="M43" s="21">
        <f>L43/J43</f>
        <v>4.1179839207832369</v>
      </c>
      <c r="N43" s="17">
        <v>390973000</v>
      </c>
      <c r="O43" s="17">
        <f>L43+N43</f>
        <v>591794936</v>
      </c>
    </row>
    <row r="44" spans="1:15" ht="15" customHeight="1">
      <c r="A44" s="131" t="s">
        <v>147</v>
      </c>
      <c r="B44" s="13">
        <v>41215</v>
      </c>
      <c r="C44" s="14">
        <v>0.87</v>
      </c>
      <c r="D44" s="24">
        <v>74</v>
      </c>
      <c r="E44" s="24">
        <v>72</v>
      </c>
      <c r="F44" s="24">
        <v>85</v>
      </c>
      <c r="G44" s="24">
        <v>24</v>
      </c>
      <c r="H44" s="16">
        <f>O44/I44</f>
        <v>2.8558962969696968</v>
      </c>
      <c r="I44" s="17">
        <v>165000000</v>
      </c>
      <c r="J44" s="17">
        <v>49038712</v>
      </c>
      <c r="K44" s="20">
        <f>J44/L44</f>
        <v>0.25888482779924238</v>
      </c>
      <c r="L44" s="17">
        <v>189422889</v>
      </c>
      <c r="M44" s="21">
        <f>L44/J44</f>
        <v>3.8627215372214505</v>
      </c>
      <c r="N44" s="17">
        <v>281800000</v>
      </c>
      <c r="O44" s="17">
        <f>L44+N44</f>
        <v>471222889</v>
      </c>
    </row>
    <row r="45" spans="1:15" ht="15" customHeight="1">
      <c r="A45" s="131" t="s">
        <v>148</v>
      </c>
      <c r="B45" s="13">
        <v>41600</v>
      </c>
      <c r="C45" s="14">
        <v>0.9</v>
      </c>
      <c r="D45" s="24">
        <v>77</v>
      </c>
      <c r="E45" s="24">
        <v>75</v>
      </c>
      <c r="F45" s="24">
        <v>85</v>
      </c>
      <c r="G45" s="24">
        <v>47</v>
      </c>
      <c r="H45" s="16">
        <f>O45/I45</f>
        <v>8.5098689000000007</v>
      </c>
      <c r="I45" s="17">
        <v>150000000</v>
      </c>
      <c r="J45" s="17">
        <v>67391326</v>
      </c>
      <c r="K45" s="20">
        <f>J45/L45</f>
        <v>0.16816804118024153</v>
      </c>
      <c r="L45" s="17">
        <v>400738009</v>
      </c>
      <c r="M45" s="21">
        <f>L45/J45</f>
        <v>5.9464330617266681</v>
      </c>
      <c r="N45" s="17">
        <v>875742326</v>
      </c>
      <c r="O45" s="17">
        <f>L45+N45</f>
        <v>1276480335</v>
      </c>
    </row>
    <row r="46" spans="1:15" ht="15" customHeight="1">
      <c r="A46" s="131" t="s">
        <v>140</v>
      </c>
      <c r="B46" s="13">
        <v>41733</v>
      </c>
      <c r="C46" s="14">
        <v>0.9</v>
      </c>
      <c r="D46" s="24">
        <v>76</v>
      </c>
      <c r="E46" s="24">
        <v>70</v>
      </c>
      <c r="F46" s="24">
        <v>85</v>
      </c>
      <c r="G46" s="24">
        <v>27</v>
      </c>
      <c r="H46" s="16">
        <f>O46/I46</f>
        <v>4.201554511764706</v>
      </c>
      <c r="I46" s="17">
        <v>170000000</v>
      </c>
      <c r="J46" s="17">
        <v>95023721</v>
      </c>
      <c r="K46" s="20">
        <f>J46/L46</f>
        <v>0.36580426907277352</v>
      </c>
      <c r="L46" s="17">
        <v>259766572</v>
      </c>
      <c r="M46" s="21">
        <f>L46/J46</f>
        <v>2.7337023773253417</v>
      </c>
      <c r="N46" s="17">
        <v>454497695</v>
      </c>
      <c r="O46" s="17">
        <f>L46+N46</f>
        <v>714264267</v>
      </c>
    </row>
    <row r="47" spans="1:15" ht="15" customHeight="1">
      <c r="A47" s="131" t="s">
        <v>149</v>
      </c>
      <c r="B47" s="13">
        <v>41950</v>
      </c>
      <c r="C47" s="14">
        <v>0.89</v>
      </c>
      <c r="D47" s="24">
        <v>74</v>
      </c>
      <c r="E47" s="24">
        <v>74</v>
      </c>
      <c r="F47" s="24">
        <v>85</v>
      </c>
      <c r="G47" s="24">
        <v>24</v>
      </c>
      <c r="H47" s="16">
        <f>O47/I47</f>
        <v>3.9867794666666665</v>
      </c>
      <c r="I47" s="17">
        <v>165000000</v>
      </c>
      <c r="J47" s="17">
        <v>56215889</v>
      </c>
      <c r="K47" s="20">
        <f>J47/L47</f>
        <v>0.25262408528968339</v>
      </c>
      <c r="L47" s="17">
        <v>222527828</v>
      </c>
      <c r="M47" s="21">
        <f>L47/J47</f>
        <v>3.9584507504630944</v>
      </c>
      <c r="N47" s="17">
        <v>435290784</v>
      </c>
      <c r="O47" s="17">
        <f>L47+N47</f>
        <v>657818612</v>
      </c>
    </row>
    <row r="48" spans="1:15" ht="15" customHeight="1">
      <c r="A48" s="131" t="s">
        <v>3</v>
      </c>
      <c r="B48" s="13">
        <v>42433</v>
      </c>
      <c r="C48" s="14">
        <v>0.98</v>
      </c>
      <c r="D48" s="15">
        <v>81</v>
      </c>
      <c r="E48" s="15">
        <v>78</v>
      </c>
      <c r="F48" s="23">
        <v>85</v>
      </c>
      <c r="G48" s="24">
        <v>38</v>
      </c>
      <c r="H48" s="16">
        <f>O48/I48</f>
        <v>6.8252279666666666</v>
      </c>
      <c r="I48" s="17">
        <v>150000000</v>
      </c>
      <c r="J48" s="17">
        <v>75063401</v>
      </c>
      <c r="K48" s="20">
        <f>J48/L48</f>
        <v>0.21995424842454139</v>
      </c>
      <c r="L48" s="17">
        <v>341268248</v>
      </c>
      <c r="M48" s="21">
        <f>L48/J48</f>
        <v>4.5464000225622607</v>
      </c>
      <c r="N48" s="17">
        <v>682515947</v>
      </c>
      <c r="O48" s="17">
        <f>L48+N48</f>
        <v>1023784195</v>
      </c>
    </row>
    <row r="49" spans="1:15" ht="15" customHeight="1">
      <c r="A49" s="130" t="s">
        <v>204</v>
      </c>
      <c r="B49" s="13">
        <v>43896</v>
      </c>
      <c r="C49" s="14">
        <v>0.88</v>
      </c>
      <c r="D49" s="15">
        <v>72</v>
      </c>
      <c r="E49" s="24">
        <v>61</v>
      </c>
      <c r="F49" s="24">
        <v>85</v>
      </c>
      <c r="G49" s="24">
        <v>10</v>
      </c>
      <c r="H49" s="16">
        <f>O49/I49</f>
        <v>0.80844211428571433</v>
      </c>
      <c r="I49" s="17">
        <v>175000000</v>
      </c>
      <c r="J49" s="17">
        <v>39119861</v>
      </c>
      <c r="K49" s="20">
        <f>J49/L49</f>
        <v>0.63552544632946606</v>
      </c>
      <c r="L49" s="17">
        <v>61555145</v>
      </c>
      <c r="M49" s="21">
        <f>L49/J49</f>
        <v>1.5735011175014144</v>
      </c>
      <c r="N49" s="17">
        <v>79922225</v>
      </c>
      <c r="O49" s="17">
        <f>L49+N49</f>
        <v>141477370</v>
      </c>
    </row>
    <row r="50" spans="1:15" ht="15" customHeight="1">
      <c r="A50" s="131" t="s">
        <v>160</v>
      </c>
      <c r="B50" s="13">
        <v>41691</v>
      </c>
      <c r="C50" s="14">
        <v>0.88</v>
      </c>
      <c r="D50" s="24">
        <v>79</v>
      </c>
      <c r="E50" s="24">
        <v>83</v>
      </c>
      <c r="F50" s="24">
        <v>87</v>
      </c>
      <c r="G50" s="24">
        <v>0</v>
      </c>
      <c r="H50" s="16">
        <f>O50/I50</f>
        <v>3.9310800333333331</v>
      </c>
      <c r="I50" s="17">
        <v>30000000</v>
      </c>
      <c r="J50" s="17">
        <v>313751</v>
      </c>
      <c r="K50" s="20">
        <f>J50/L50</f>
        <v>6.0225776358170911E-2</v>
      </c>
      <c r="L50" s="17">
        <v>5209580</v>
      </c>
      <c r="M50" s="21">
        <f>L50/J50</f>
        <v>16.604186122115944</v>
      </c>
      <c r="N50" s="17">
        <v>112722821</v>
      </c>
      <c r="O50" s="17">
        <f>L50+N50</f>
        <v>117932401</v>
      </c>
    </row>
    <row r="51" spans="1:15" ht="15" customHeight="1">
      <c r="A51" s="131" t="s">
        <v>224</v>
      </c>
      <c r="B51" s="13">
        <v>43581</v>
      </c>
      <c r="C51" s="14">
        <v>0.94</v>
      </c>
      <c r="D51" s="24">
        <v>82</v>
      </c>
      <c r="E51" s="24">
        <v>78</v>
      </c>
      <c r="F51" s="24">
        <v>87</v>
      </c>
      <c r="G51" s="24">
        <v>38</v>
      </c>
      <c r="H51" s="16">
        <f>O51/I51</f>
        <v>7.8589903483146069</v>
      </c>
      <c r="I51" s="17">
        <v>356000000</v>
      </c>
      <c r="J51" s="17">
        <v>357115007</v>
      </c>
      <c r="K51" s="20">
        <f>J51/L51</f>
        <v>0.41603709226641566</v>
      </c>
      <c r="L51" s="17">
        <v>858373000</v>
      </c>
      <c r="M51" s="21">
        <f>L51/J51</f>
        <v>2.4036318361720372</v>
      </c>
      <c r="N51" s="17">
        <v>1939427564</v>
      </c>
      <c r="O51" s="17">
        <f>L51+N51</f>
        <v>2797800564</v>
      </c>
    </row>
    <row r="52" spans="1:15" ht="15" customHeight="1">
      <c r="A52" s="131" t="s">
        <v>33</v>
      </c>
      <c r="B52" s="13">
        <v>43637</v>
      </c>
      <c r="C52" s="14">
        <v>0.97</v>
      </c>
      <c r="D52" s="24">
        <v>83</v>
      </c>
      <c r="E52" s="24">
        <v>84</v>
      </c>
      <c r="F52" s="24">
        <v>90</v>
      </c>
      <c r="G52" s="24">
        <v>52</v>
      </c>
      <c r="H52" s="16">
        <f>O52/I52</f>
        <v>5.3669729650000004</v>
      </c>
      <c r="I52" s="17">
        <v>200000000</v>
      </c>
      <c r="J52" s="17">
        <v>120908065</v>
      </c>
      <c r="K52" s="20">
        <f>J52/L52</f>
        <v>0.27856561584809414</v>
      </c>
      <c r="L52" s="17">
        <v>434038008</v>
      </c>
      <c r="M52" s="21">
        <f>L52/J52</f>
        <v>3.589818495565205</v>
      </c>
      <c r="N52" s="17">
        <v>639356585</v>
      </c>
      <c r="O52" s="17">
        <f>L52+N52</f>
        <v>1073394593</v>
      </c>
    </row>
    <row r="53" spans="1:15" ht="15" customHeight="1">
      <c r="A53" s="131" t="s">
        <v>81</v>
      </c>
      <c r="B53" s="13">
        <v>40347</v>
      </c>
      <c r="C53" s="14">
        <v>0.98</v>
      </c>
      <c r="D53" s="24">
        <v>89</v>
      </c>
      <c r="E53" s="24">
        <v>92</v>
      </c>
      <c r="F53" s="24">
        <v>93</v>
      </c>
      <c r="G53" s="24">
        <v>45</v>
      </c>
      <c r="H53" s="16">
        <f>O53/I53</f>
        <v>5.334848515</v>
      </c>
      <c r="I53" s="17">
        <v>200000000</v>
      </c>
      <c r="J53" s="17">
        <v>110307189</v>
      </c>
      <c r="K53" s="20">
        <f>J53/L53</f>
        <v>0.2657973299012773</v>
      </c>
      <c r="L53" s="17">
        <v>415004880</v>
      </c>
      <c r="M53" s="21">
        <f>L53/J53</f>
        <v>3.762265032426853</v>
      </c>
      <c r="N53" s="17">
        <v>651964823</v>
      </c>
      <c r="O53" s="17">
        <f>L53+N53</f>
        <v>1066969703</v>
      </c>
    </row>
    <row r="54" spans="1:15" ht="15" customHeight="1">
      <c r="A54" s="131" t="s">
        <v>4</v>
      </c>
      <c r="B54" s="13">
        <v>42697</v>
      </c>
      <c r="C54" s="14">
        <v>0.95</v>
      </c>
      <c r="D54" s="15">
        <v>79</v>
      </c>
      <c r="E54" s="15">
        <v>81</v>
      </c>
      <c r="F54" s="23">
        <v>95</v>
      </c>
      <c r="G54" s="24">
        <v>47</v>
      </c>
      <c r="H54" s="16">
        <f>O54/I54</f>
        <v>4.288874073333333</v>
      </c>
      <c r="I54" s="17">
        <v>150000000</v>
      </c>
      <c r="J54" s="17">
        <v>56631401</v>
      </c>
      <c r="K54" s="20">
        <f>J54/L54</f>
        <v>0.22765747690746799</v>
      </c>
      <c r="L54" s="17">
        <v>248757044</v>
      </c>
      <c r="M54" s="21">
        <f>L54/J54</f>
        <v>4.3925638357419414</v>
      </c>
      <c r="N54" s="17">
        <v>394574067</v>
      </c>
      <c r="O54" s="17">
        <f>L54+N54</f>
        <v>643331111</v>
      </c>
    </row>
    <row r="55" spans="1:15" ht="15" customHeight="1">
      <c r="A55" s="131" t="s">
        <v>27</v>
      </c>
      <c r="B55" s="13">
        <v>43061</v>
      </c>
      <c r="C55" s="14">
        <v>0.97</v>
      </c>
      <c r="D55" s="24">
        <v>83</v>
      </c>
      <c r="E55" s="24">
        <v>81</v>
      </c>
      <c r="F55" s="24">
        <v>95</v>
      </c>
      <c r="G55" s="24">
        <v>47</v>
      </c>
      <c r="H55" s="16">
        <f>O55/I55</f>
        <v>4.6118982628571432</v>
      </c>
      <c r="I55" s="17">
        <v>175000000</v>
      </c>
      <c r="J55" s="17">
        <v>50802605</v>
      </c>
      <c r="K55" s="20">
        <f>J55/L55</f>
        <v>0.24223320602358273</v>
      </c>
      <c r="L55" s="17">
        <v>209726015</v>
      </c>
      <c r="M55" s="21">
        <f>L55/J55</f>
        <v>4.1282531673326597</v>
      </c>
      <c r="N55" s="17">
        <v>597356181</v>
      </c>
      <c r="O55" s="17">
        <f>L55+N55</f>
        <v>807082196</v>
      </c>
    </row>
    <row r="56" spans="1:15" ht="15" customHeight="1">
      <c r="A56" s="130" t="s">
        <v>304</v>
      </c>
      <c r="B56" s="13">
        <v>44190</v>
      </c>
      <c r="C56" s="14">
        <v>0.95</v>
      </c>
      <c r="D56" s="15">
        <v>83</v>
      </c>
      <c r="E56" s="24">
        <v>83</v>
      </c>
      <c r="F56" s="24">
        <v>96</v>
      </c>
      <c r="G56" s="24">
        <v>0</v>
      </c>
      <c r="H56" s="16">
        <f>O56/I56</f>
        <v>0.77937087333333332</v>
      </c>
      <c r="I56" s="17">
        <v>150000000</v>
      </c>
      <c r="J56" s="17">
        <v>0</v>
      </c>
      <c r="K56" s="20">
        <v>0</v>
      </c>
      <c r="L56" s="17">
        <v>0</v>
      </c>
      <c r="M56" s="21">
        <v>0</v>
      </c>
      <c r="N56" s="17">
        <v>116905631</v>
      </c>
      <c r="O56" s="17">
        <f>L56+N56</f>
        <v>116905631</v>
      </c>
    </row>
    <row r="57" spans="1:15" ht="15" customHeight="1">
      <c r="A57" s="131" t="s">
        <v>5</v>
      </c>
      <c r="B57" s="13">
        <v>42174</v>
      </c>
      <c r="C57" s="14">
        <v>0.98</v>
      </c>
      <c r="D57" s="24">
        <v>89</v>
      </c>
      <c r="E57" s="24">
        <v>94</v>
      </c>
      <c r="F57" s="24">
        <v>98</v>
      </c>
      <c r="G57" s="24">
        <v>45</v>
      </c>
      <c r="H57" s="16">
        <f>O57/I57</f>
        <v>4.9006352800000004</v>
      </c>
      <c r="I57" s="17">
        <v>175000000</v>
      </c>
      <c r="J57" s="17">
        <v>90440272</v>
      </c>
      <c r="K57" s="20">
        <f>J57/L57</f>
        <v>0.2537166523335237</v>
      </c>
      <c r="L57" s="17">
        <v>356461711</v>
      </c>
      <c r="M57" s="21">
        <f>L57/J57</f>
        <v>3.9414046764476782</v>
      </c>
      <c r="N57" s="17">
        <v>501149463</v>
      </c>
      <c r="O57" s="17">
        <f>L57+N57</f>
        <v>857611174</v>
      </c>
    </row>
    <row r="58" spans="1:15" ht="15" customHeight="1">
      <c r="A58" s="130" t="s">
        <v>424</v>
      </c>
      <c r="B58" s="13">
        <v>40207</v>
      </c>
      <c r="C58" s="14">
        <v>0.17</v>
      </c>
      <c r="D58" s="24">
        <v>34</v>
      </c>
      <c r="E58" s="24">
        <v>25</v>
      </c>
      <c r="F58" s="24"/>
      <c r="G58" s="24">
        <v>3</v>
      </c>
      <c r="H58" s="16">
        <f>O58/I58</f>
        <v>1.5372441071428571</v>
      </c>
      <c r="I58" s="17">
        <v>28000000</v>
      </c>
      <c r="J58" s="17">
        <v>12350041</v>
      </c>
      <c r="K58" s="20">
        <f>J58/L58</f>
        <v>0.37790091152763167</v>
      </c>
      <c r="L58" s="17">
        <v>32680633</v>
      </c>
      <c r="M58" s="21">
        <f>L58/J58</f>
        <v>2.6461963162713387</v>
      </c>
      <c r="N58" s="17">
        <v>10362202</v>
      </c>
      <c r="O58" s="17">
        <f>L58+N58</f>
        <v>43042835</v>
      </c>
    </row>
    <row r="59" spans="1:15" ht="15" customHeight="1">
      <c r="A59" s="131" t="s">
        <v>404</v>
      </c>
      <c r="B59" s="13">
        <v>40242</v>
      </c>
      <c r="C59" s="14">
        <v>0.51</v>
      </c>
      <c r="D59" s="24">
        <v>57</v>
      </c>
      <c r="E59" s="24">
        <v>53</v>
      </c>
      <c r="F59" s="24"/>
      <c r="G59" s="24">
        <v>32</v>
      </c>
      <c r="H59" s="16">
        <f>O59/I59</f>
        <v>5.1273355499999997</v>
      </c>
      <c r="I59" s="17">
        <v>200000000</v>
      </c>
      <c r="J59" s="17">
        <v>116101023</v>
      </c>
      <c r="K59" s="20">
        <f>J59/L59</f>
        <v>0.34740907081579758</v>
      </c>
      <c r="L59" s="17">
        <v>334191110</v>
      </c>
      <c r="M59" s="21">
        <f>L59/J59</f>
        <v>2.8784510365597726</v>
      </c>
      <c r="N59" s="17">
        <v>691276000</v>
      </c>
      <c r="O59" s="17">
        <f>L59+N59</f>
        <v>1025467110</v>
      </c>
    </row>
    <row r="60" spans="1:15" ht="15" customHeight="1">
      <c r="A60" s="131" t="s">
        <v>425</v>
      </c>
      <c r="B60" s="13">
        <v>40268</v>
      </c>
      <c r="C60" s="14">
        <v>0.21</v>
      </c>
      <c r="D60" s="24">
        <v>40</v>
      </c>
      <c r="E60" s="24">
        <v>33</v>
      </c>
      <c r="F60" s="24"/>
      <c r="G60" s="24">
        <v>12</v>
      </c>
      <c r="H60" s="16">
        <f>O60/I60</f>
        <v>4.4520828000000003</v>
      </c>
      <c r="I60" s="17">
        <v>20000000</v>
      </c>
      <c r="J60" s="17">
        <v>16007426</v>
      </c>
      <c r="K60" s="20">
        <f>J60/L60</f>
        <v>0.25428639164456884</v>
      </c>
      <c r="L60" s="17">
        <v>62950384</v>
      </c>
      <c r="M60" s="21">
        <f>L60/J60</f>
        <v>3.9325737941877725</v>
      </c>
      <c r="N60" s="17">
        <v>26091272</v>
      </c>
      <c r="O60" s="17">
        <f>L60+N60</f>
        <v>89041656</v>
      </c>
    </row>
    <row r="61" spans="1:15" ht="15" customHeight="1">
      <c r="A61" s="130" t="s">
        <v>426</v>
      </c>
      <c r="B61" s="13">
        <v>40326</v>
      </c>
      <c r="C61" s="14">
        <v>0.37</v>
      </c>
      <c r="D61" s="24">
        <v>51</v>
      </c>
      <c r="E61" s="24">
        <v>50</v>
      </c>
      <c r="F61" s="24"/>
      <c r="G61" s="24">
        <v>17</v>
      </c>
      <c r="H61" s="16">
        <f>O61/I61</f>
        <v>1.68182838</v>
      </c>
      <c r="I61" s="17">
        <v>200000000</v>
      </c>
      <c r="J61" s="17">
        <v>30095259</v>
      </c>
      <c r="K61" s="20">
        <f>J61/L61</f>
        <v>0.33159284305951026</v>
      </c>
      <c r="L61" s="17">
        <v>90759676</v>
      </c>
      <c r="M61" s="21">
        <f>L61/J61</f>
        <v>3.0157466330494116</v>
      </c>
      <c r="N61" s="17">
        <v>245606000</v>
      </c>
      <c r="O61" s="17">
        <f>L61+N61</f>
        <v>336365676</v>
      </c>
    </row>
    <row r="62" spans="1:15" ht="15" customHeight="1">
      <c r="A62" s="130" t="s">
        <v>427</v>
      </c>
      <c r="B62" s="13">
        <v>40373</v>
      </c>
      <c r="C62" s="14">
        <v>0.4</v>
      </c>
      <c r="D62" s="24">
        <v>52</v>
      </c>
      <c r="E62" s="24">
        <v>46</v>
      </c>
      <c r="F62" s="24"/>
      <c r="G62" s="24">
        <v>19</v>
      </c>
      <c r="H62" s="16">
        <f>O62/I62</f>
        <v>1.4352249466666667</v>
      </c>
      <c r="I62" s="17">
        <v>150000000</v>
      </c>
      <c r="J62" s="17">
        <v>17619622</v>
      </c>
      <c r="K62" s="20">
        <f>J62/L62</f>
        <v>0.27900784644852206</v>
      </c>
      <c r="L62" s="17">
        <v>63150991</v>
      </c>
      <c r="M62" s="21">
        <f>L62/J62</f>
        <v>3.5841285925430184</v>
      </c>
      <c r="N62" s="17">
        <v>152132751</v>
      </c>
      <c r="O62" s="17">
        <f>L62+N62</f>
        <v>215283742</v>
      </c>
    </row>
    <row r="63" spans="1:15" ht="15" customHeight="1">
      <c r="A63" s="131" t="s">
        <v>450</v>
      </c>
      <c r="B63" s="13">
        <v>40396</v>
      </c>
      <c r="C63" s="14">
        <v>0.47</v>
      </c>
      <c r="D63" s="24">
        <v>51</v>
      </c>
      <c r="E63" s="24">
        <v>45</v>
      </c>
      <c r="F63" s="24"/>
      <c r="G63" s="24">
        <v>12</v>
      </c>
      <c r="H63" s="16">
        <f>O63/I63</f>
        <v>5.3097269666666671</v>
      </c>
      <c r="I63" s="17">
        <v>30000000</v>
      </c>
      <c r="J63" s="17">
        <v>15812311</v>
      </c>
      <c r="K63" s="20">
        <f>J63/L63</f>
        <v>0.37292990180735608</v>
      </c>
      <c r="L63" s="17">
        <v>42400223</v>
      </c>
      <c r="M63" s="21">
        <f>L63/J63</f>
        <v>2.6814690781126176</v>
      </c>
      <c r="N63" s="17">
        <v>116891586</v>
      </c>
      <c r="O63" s="17">
        <f>L63+N63</f>
        <v>159291809</v>
      </c>
    </row>
    <row r="64" spans="1:15" ht="15" customHeight="1">
      <c r="A64" s="130" t="s">
        <v>428</v>
      </c>
      <c r="B64" s="13">
        <v>40445</v>
      </c>
      <c r="C64" s="14">
        <v>0.18</v>
      </c>
      <c r="D64" s="24">
        <v>38</v>
      </c>
      <c r="E64" s="24">
        <v>28</v>
      </c>
      <c r="F64" s="24"/>
      <c r="G64" s="24">
        <v>3</v>
      </c>
      <c r="H64" s="16">
        <f>O64/I64</f>
        <v>1.6002624000000001</v>
      </c>
      <c r="I64" s="17">
        <v>20000000</v>
      </c>
      <c r="J64" s="17">
        <v>8407513</v>
      </c>
      <c r="K64" s="20">
        <f>J64/L64</f>
        <v>0.32711445268593914</v>
      </c>
      <c r="L64" s="17">
        <v>25702053</v>
      </c>
      <c r="M64" s="21">
        <f>L64/J64</f>
        <v>3.0570339885290694</v>
      </c>
      <c r="N64" s="17">
        <v>6303195</v>
      </c>
      <c r="O64" s="17">
        <f>L64+N64</f>
        <v>32005248</v>
      </c>
    </row>
    <row r="65" spans="1:15" ht="15" customHeight="1">
      <c r="A65" s="130" t="s">
        <v>429</v>
      </c>
      <c r="B65" s="13">
        <v>40459</v>
      </c>
      <c r="C65" s="14">
        <v>0.63</v>
      </c>
      <c r="D65" s="24">
        <v>61</v>
      </c>
      <c r="E65" s="24">
        <v>61</v>
      </c>
      <c r="F65" s="24"/>
      <c r="G65" s="24">
        <v>10</v>
      </c>
      <c r="H65" s="16">
        <f>O65/I65</f>
        <v>1.7214677428571428</v>
      </c>
      <c r="I65" s="17">
        <v>35000000</v>
      </c>
      <c r="J65" s="17">
        <v>12694770</v>
      </c>
      <c r="K65" s="20">
        <f>J65/L65</f>
        <v>0.21259301950440229</v>
      </c>
      <c r="L65" s="17">
        <v>59713955</v>
      </c>
      <c r="M65" s="21">
        <f>L65/J65</f>
        <v>4.7038233067633364</v>
      </c>
      <c r="N65" s="17">
        <v>537416</v>
      </c>
      <c r="O65" s="17">
        <f>L65+N65</f>
        <v>60251371</v>
      </c>
    </row>
    <row r="66" spans="1:15" ht="15" customHeight="1">
      <c r="A66" s="130" t="s">
        <v>430</v>
      </c>
      <c r="B66" s="13">
        <v>40522</v>
      </c>
      <c r="C66" s="14">
        <v>0.3</v>
      </c>
      <c r="D66" s="24">
        <v>47</v>
      </c>
      <c r="E66" s="24">
        <v>43</v>
      </c>
      <c r="F66" s="24"/>
      <c r="G66" s="24">
        <v>0</v>
      </c>
      <c r="H66" s="16">
        <f>O66/I66</f>
        <v>1.73297E-2</v>
      </c>
      <c r="I66" s="17">
        <v>20000000</v>
      </c>
      <c r="J66" s="17">
        <v>42436</v>
      </c>
      <c r="K66" s="20">
        <f>J66/L66</f>
        <v>0.15267878665769599</v>
      </c>
      <c r="L66" s="17">
        <v>277943</v>
      </c>
      <c r="M66" s="21">
        <f>L66/J66</f>
        <v>6.5496983693090769</v>
      </c>
      <c r="N66" s="17">
        <v>68651</v>
      </c>
      <c r="O66" s="17">
        <f>L66+N66</f>
        <v>346594</v>
      </c>
    </row>
    <row r="67" spans="1:15" ht="15" customHeight="1">
      <c r="A67" s="132" t="s">
        <v>431</v>
      </c>
      <c r="B67" s="13">
        <v>40529</v>
      </c>
      <c r="C67" s="14">
        <v>0.51</v>
      </c>
      <c r="D67" s="24">
        <v>59</v>
      </c>
      <c r="E67" s="24">
        <v>49</v>
      </c>
      <c r="F67" s="24"/>
      <c r="G67" s="24">
        <v>24</v>
      </c>
      <c r="H67" s="16">
        <f>O67/I67</f>
        <v>2.3533103705882352</v>
      </c>
      <c r="I67" s="17">
        <v>170000000</v>
      </c>
      <c r="J67" s="17">
        <v>44026211</v>
      </c>
      <c r="K67" s="20">
        <f>J67/L67</f>
        <v>0.25587297467726938</v>
      </c>
      <c r="L67" s="17">
        <v>172062763</v>
      </c>
      <c r="M67" s="21">
        <f>L67/J67</f>
        <v>3.9081892148293207</v>
      </c>
      <c r="N67" s="17">
        <v>228000000</v>
      </c>
      <c r="O67" s="17">
        <f>L67+N67</f>
        <v>400062763</v>
      </c>
    </row>
    <row r="68" spans="1:15" ht="15" customHeight="1">
      <c r="A68" s="131" t="s">
        <v>432</v>
      </c>
      <c r="B68" s="13">
        <v>40585</v>
      </c>
      <c r="C68" s="14">
        <v>0.56000000000000005</v>
      </c>
      <c r="D68" s="24">
        <v>56</v>
      </c>
      <c r="E68" s="24">
        <v>53</v>
      </c>
      <c r="F68" s="24"/>
      <c r="G68" s="24">
        <v>5</v>
      </c>
      <c r="H68" s="16">
        <f>O68/I68</f>
        <v>5.3879908333333333</v>
      </c>
      <c r="I68" s="17">
        <v>36000000</v>
      </c>
      <c r="J68" s="17">
        <v>25356909</v>
      </c>
      <c r="K68" s="20">
        <f>J68/L68</f>
        <v>0.25365109539914255</v>
      </c>
      <c r="L68" s="17">
        <v>99967670</v>
      </c>
      <c r="M68" s="21">
        <f>L68/J68</f>
        <v>3.9424233450536104</v>
      </c>
      <c r="N68" s="17">
        <v>94000000</v>
      </c>
      <c r="O68" s="17">
        <f>L68+N68</f>
        <v>193967670</v>
      </c>
    </row>
    <row r="69" spans="1:15" ht="15" customHeight="1">
      <c r="A69" s="132" t="s">
        <v>451</v>
      </c>
      <c r="B69" s="13">
        <v>40592</v>
      </c>
      <c r="C69" s="14">
        <v>0.33</v>
      </c>
      <c r="D69" s="24">
        <v>48</v>
      </c>
      <c r="E69" s="24">
        <v>36</v>
      </c>
      <c r="F69" s="24"/>
      <c r="G69" s="24">
        <v>10</v>
      </c>
      <c r="H69" s="16">
        <f>O69/I69</f>
        <v>2.49797395</v>
      </c>
      <c r="I69" s="17">
        <v>60000000</v>
      </c>
      <c r="J69" s="17">
        <v>19449893</v>
      </c>
      <c r="K69" s="20">
        <f>J69/L69</f>
        <v>0.3529898138557413</v>
      </c>
      <c r="L69" s="17">
        <v>55100437</v>
      </c>
      <c r="M69" s="21">
        <f>L69/J69</f>
        <v>2.8329429370125583</v>
      </c>
      <c r="N69" s="17">
        <v>94778000</v>
      </c>
      <c r="O69" s="17">
        <f>L69+N69</f>
        <v>149878437</v>
      </c>
    </row>
    <row r="70" spans="1:15" ht="15" customHeight="1">
      <c r="A70" s="130" t="s">
        <v>433</v>
      </c>
      <c r="B70" s="13">
        <v>40613</v>
      </c>
      <c r="C70" s="14">
        <v>0.37</v>
      </c>
      <c r="D70" s="24">
        <v>50</v>
      </c>
      <c r="E70" s="24">
        <v>49</v>
      </c>
      <c r="F70" s="24"/>
      <c r="G70" s="24">
        <v>3</v>
      </c>
      <c r="H70" s="16">
        <f>O70/I70</f>
        <v>0.25995172</v>
      </c>
      <c r="I70" s="17">
        <v>150000000</v>
      </c>
      <c r="J70" s="17">
        <v>6914488</v>
      </c>
      <c r="K70" s="20">
        <f>J70/L70</f>
        <v>0.32321629590724116</v>
      </c>
      <c r="L70" s="17">
        <v>21392758</v>
      </c>
      <c r="M70" s="21">
        <f>L70/J70</f>
        <v>3.0939034097680116</v>
      </c>
      <c r="N70" s="17">
        <v>17600000</v>
      </c>
      <c r="O70" s="17">
        <f>L70+N70</f>
        <v>38992758</v>
      </c>
    </row>
    <row r="71" spans="1:15" ht="15" customHeight="1">
      <c r="A71" s="130" t="s">
        <v>434</v>
      </c>
      <c r="B71" s="13">
        <v>40662</v>
      </c>
      <c r="C71" s="14">
        <v>0.36</v>
      </c>
      <c r="D71" s="24">
        <v>51</v>
      </c>
      <c r="E71" s="24">
        <v>50</v>
      </c>
      <c r="F71" s="24"/>
      <c r="G71" s="24">
        <v>2</v>
      </c>
      <c r="H71" s="16">
        <f>O71/I71</f>
        <v>1.3377807500000001</v>
      </c>
      <c r="I71" s="17">
        <v>8000000</v>
      </c>
      <c r="J71" s="17">
        <v>4712638</v>
      </c>
      <c r="K71" s="20">
        <f>J71/L71</f>
        <v>0.46520593483714417</v>
      </c>
      <c r="L71" s="17">
        <v>10130219</v>
      </c>
      <c r="M71" s="21">
        <f>L71/J71</f>
        <v>2.1495856460861198</v>
      </c>
      <c r="N71" s="17">
        <v>572027</v>
      </c>
      <c r="O71" s="17">
        <f>L71+N71</f>
        <v>10702246</v>
      </c>
    </row>
    <row r="72" spans="1:15" ht="15" customHeight="1">
      <c r="A72" s="131" t="s">
        <v>435</v>
      </c>
      <c r="B72" s="13">
        <v>40683</v>
      </c>
      <c r="C72" s="14">
        <v>0.33</v>
      </c>
      <c r="D72" s="24">
        <v>50</v>
      </c>
      <c r="E72" s="24">
        <v>45</v>
      </c>
      <c r="F72" s="24"/>
      <c r="G72" s="24">
        <v>31</v>
      </c>
      <c r="H72" s="16">
        <f>O72/I72</f>
        <v>2.7627841532364599</v>
      </c>
      <c r="I72" s="17">
        <v>378500000</v>
      </c>
      <c r="J72" s="17">
        <v>90151958</v>
      </c>
      <c r="K72" s="20">
        <f>J72/L72</f>
        <v>0.3739630983469398</v>
      </c>
      <c r="L72" s="17">
        <v>241071802</v>
      </c>
      <c r="M72" s="21">
        <f>L72/J72</f>
        <v>2.6740606343791224</v>
      </c>
      <c r="N72" s="17">
        <v>804642000</v>
      </c>
      <c r="O72" s="17">
        <f>L72+N72</f>
        <v>1045713802</v>
      </c>
    </row>
    <row r="73" spans="1:15" ht="15" customHeight="1">
      <c r="A73" s="131" t="s">
        <v>436</v>
      </c>
      <c r="B73" s="13">
        <v>40765</v>
      </c>
      <c r="C73" s="14">
        <v>0.76</v>
      </c>
      <c r="D73" s="24">
        <v>70</v>
      </c>
      <c r="E73" s="24">
        <v>62</v>
      </c>
      <c r="F73" s="24"/>
      <c r="G73" s="24">
        <v>33</v>
      </c>
      <c r="H73" s="16">
        <f>O73/I73</f>
        <v>8.6655644800000005</v>
      </c>
      <c r="I73" s="17">
        <v>25000000</v>
      </c>
      <c r="J73" s="17">
        <v>26044590</v>
      </c>
      <c r="K73" s="20">
        <f>J73/L73</f>
        <v>0.15346697157293224</v>
      </c>
      <c r="L73" s="17">
        <v>169708112</v>
      </c>
      <c r="M73" s="21">
        <f>L73/J73</f>
        <v>6.5160600339648269</v>
      </c>
      <c r="N73" s="17">
        <v>46931000</v>
      </c>
      <c r="O73" s="17">
        <f>L73+N73</f>
        <v>216639112</v>
      </c>
    </row>
    <row r="74" spans="1:15" ht="15" customHeight="1">
      <c r="A74" s="130" t="s">
        <v>437</v>
      </c>
      <c r="B74" s="13">
        <v>40774</v>
      </c>
      <c r="C74" s="14">
        <v>0.91</v>
      </c>
      <c r="D74" s="24">
        <v>73</v>
      </c>
      <c r="E74" s="24">
        <v>64</v>
      </c>
      <c r="F74" s="24"/>
      <c r="G74" s="24">
        <v>3</v>
      </c>
      <c r="H74" s="16">
        <f>O74/I74</f>
        <v>1.3667535666666666</v>
      </c>
      <c r="I74" s="17">
        <v>30000000</v>
      </c>
      <c r="J74" s="17">
        <v>7714388</v>
      </c>
      <c r="K74" s="20">
        <f>J74/L74</f>
        <v>0.42149121160717706</v>
      </c>
      <c r="L74" s="17">
        <v>18302607</v>
      </c>
      <c r="M74" s="21">
        <f>L74/J74</f>
        <v>2.3725287086934181</v>
      </c>
      <c r="N74" s="17">
        <v>22700000</v>
      </c>
      <c r="O74" s="17">
        <f>L74+N74</f>
        <v>41002607</v>
      </c>
    </row>
    <row r="75" spans="1:15" ht="15" customHeight="1">
      <c r="A75" s="131" t="s">
        <v>438</v>
      </c>
      <c r="B75" s="13">
        <v>40823</v>
      </c>
      <c r="C75" s="14">
        <v>0.6</v>
      </c>
      <c r="D75" s="24">
        <v>59</v>
      </c>
      <c r="E75" s="24">
        <v>56</v>
      </c>
      <c r="F75" s="24"/>
      <c r="G75" s="24">
        <v>12</v>
      </c>
      <c r="H75" s="16">
        <f>O75/I75</f>
        <v>3.7408563500000001</v>
      </c>
      <c r="I75" s="17">
        <v>80000000</v>
      </c>
      <c r="J75" s="17">
        <v>27319677</v>
      </c>
      <c r="K75" s="20">
        <f>J75/L75</f>
        <v>0.31964612041665685</v>
      </c>
      <c r="L75" s="17">
        <v>85468508</v>
      </c>
      <c r="M75" s="21">
        <f>L75/J75</f>
        <v>3.1284596812766123</v>
      </c>
      <c r="N75" s="17">
        <v>213800000</v>
      </c>
      <c r="O75" s="17">
        <f>L75+N75</f>
        <v>299268508</v>
      </c>
    </row>
    <row r="76" spans="1:15" ht="15" customHeight="1">
      <c r="A76" s="131" t="s">
        <v>439</v>
      </c>
      <c r="B76" s="13">
        <v>40870</v>
      </c>
      <c r="C76" s="14">
        <v>0.95</v>
      </c>
      <c r="D76" s="24">
        <v>79</v>
      </c>
      <c r="E76" s="24">
        <v>75</v>
      </c>
      <c r="F76" s="24"/>
      <c r="G76" s="24">
        <v>7</v>
      </c>
      <c r="H76" s="16">
        <f>O76/I76</f>
        <v>3.6707608222222223</v>
      </c>
      <c r="I76" s="17">
        <v>45000000</v>
      </c>
      <c r="J76" s="17">
        <v>29239026</v>
      </c>
      <c r="K76" s="20">
        <f>J76/L76</f>
        <v>0.32989527157338444</v>
      </c>
      <c r="L76" s="17">
        <v>88631237</v>
      </c>
      <c r="M76" s="21">
        <f>L76/J76</f>
        <v>3.0312650291428995</v>
      </c>
      <c r="N76" s="17">
        <v>76553000</v>
      </c>
      <c r="O76" s="17">
        <f>L76+N76</f>
        <v>165184237</v>
      </c>
    </row>
    <row r="77" spans="1:15" ht="15" customHeight="1">
      <c r="A77" s="131" t="s">
        <v>440</v>
      </c>
      <c r="B77" s="13">
        <v>40902</v>
      </c>
      <c r="C77" s="14">
        <v>0.75</v>
      </c>
      <c r="D77" s="24">
        <v>70</v>
      </c>
      <c r="E77" s="24">
        <v>72</v>
      </c>
      <c r="F77" s="24"/>
      <c r="G77" s="24">
        <v>15</v>
      </c>
      <c r="H77" s="16">
        <f>O77/I77</f>
        <v>2.6906799848484848</v>
      </c>
      <c r="I77" s="17">
        <v>66000000</v>
      </c>
      <c r="J77" s="17">
        <v>7515402</v>
      </c>
      <c r="K77" s="20">
        <f>J77/L77</f>
        <v>9.4077904280233063E-2</v>
      </c>
      <c r="L77" s="17">
        <v>79884879</v>
      </c>
      <c r="M77" s="21">
        <f>L77/J77</f>
        <v>10.629488482452436</v>
      </c>
      <c r="N77" s="17">
        <v>97700000</v>
      </c>
      <c r="O77" s="17">
        <f>L77+N77</f>
        <v>177584879</v>
      </c>
    </row>
    <row r="78" spans="1:15" ht="15" customHeight="1">
      <c r="A78" s="131" t="s">
        <v>169</v>
      </c>
      <c r="B78" s="13">
        <v>40956</v>
      </c>
      <c r="C78" s="14">
        <v>0.95</v>
      </c>
      <c r="D78" s="24">
        <v>77</v>
      </c>
      <c r="E78" s="24">
        <v>80</v>
      </c>
      <c r="F78" s="24"/>
      <c r="G78" s="24">
        <v>4</v>
      </c>
      <c r="H78" s="16">
        <f>O78/I78</f>
        <v>7.2977558</v>
      </c>
      <c r="I78" s="17">
        <v>20000000</v>
      </c>
      <c r="J78" s="17">
        <v>6446395</v>
      </c>
      <c r="K78" s="20">
        <f>J78/L78</f>
        <v>0.32911545761501793</v>
      </c>
      <c r="L78" s="17">
        <v>19587032</v>
      </c>
      <c r="M78" s="21">
        <f>L78/J78</f>
        <v>3.0384473802799858</v>
      </c>
      <c r="N78" s="17">
        <v>126368084</v>
      </c>
      <c r="O78" s="17">
        <f>L78+N78</f>
        <v>145955116</v>
      </c>
    </row>
    <row r="79" spans="1:15" ht="15" customHeight="1">
      <c r="A79" s="130" t="s">
        <v>170</v>
      </c>
      <c r="B79" s="13">
        <v>40977</v>
      </c>
      <c r="C79" s="14">
        <v>0.52</v>
      </c>
      <c r="D79" s="24">
        <v>58</v>
      </c>
      <c r="E79" s="24">
        <v>51</v>
      </c>
      <c r="F79" s="24"/>
      <c r="G79" s="24">
        <v>12</v>
      </c>
      <c r="H79" s="16">
        <f>O79/I79</f>
        <v>1.1365563999999999</v>
      </c>
      <c r="I79" s="17">
        <v>250000000</v>
      </c>
      <c r="J79" s="17">
        <v>30180188</v>
      </c>
      <c r="K79" s="20">
        <f>J79/L79</f>
        <v>0.4129853950773214</v>
      </c>
      <c r="L79" s="17">
        <v>73078100</v>
      </c>
      <c r="M79" s="21">
        <f>L79/J79</f>
        <v>2.421393133800227</v>
      </c>
      <c r="N79" s="17">
        <v>211061000</v>
      </c>
      <c r="O79" s="17">
        <f>L79+N79</f>
        <v>284139100</v>
      </c>
    </row>
    <row r="80" spans="1:15" ht="15" customHeight="1">
      <c r="A80" s="130" t="s">
        <v>171</v>
      </c>
      <c r="B80" s="13">
        <v>41089</v>
      </c>
      <c r="C80" s="14">
        <v>0.53</v>
      </c>
      <c r="D80" s="24">
        <v>57</v>
      </c>
      <c r="E80" s="24">
        <v>49</v>
      </c>
      <c r="F80" s="24"/>
      <c r="G80" s="24">
        <v>3</v>
      </c>
      <c r="H80" s="16">
        <f>O80/I80</f>
        <v>0.77717362499999998</v>
      </c>
      <c r="I80" s="17">
        <v>16000000</v>
      </c>
      <c r="J80" s="17">
        <v>4255423</v>
      </c>
      <c r="K80" s="20">
        <f>J80/L80</f>
        <v>0.34221945900441486</v>
      </c>
      <c r="L80" s="17">
        <v>12434778</v>
      </c>
      <c r="M80" s="21">
        <f>L80/J80</f>
        <v>2.9221015161124995</v>
      </c>
      <c r="N80" s="17">
        <v>0</v>
      </c>
      <c r="O80" s="17">
        <f>L80+N80</f>
        <v>12434778</v>
      </c>
    </row>
    <row r="81" spans="1:15" ht="15" customHeight="1">
      <c r="A81" s="132" t="s">
        <v>172</v>
      </c>
      <c r="B81" s="13">
        <v>41136</v>
      </c>
      <c r="C81" s="14">
        <v>0.35</v>
      </c>
      <c r="D81" s="24">
        <v>52</v>
      </c>
      <c r="E81" s="24">
        <v>47</v>
      </c>
      <c r="F81" s="24"/>
      <c r="G81" s="24">
        <v>12</v>
      </c>
      <c r="H81" s="16">
        <f>O81/I81</f>
        <v>2.2405056800000001</v>
      </c>
      <c r="I81" s="17">
        <v>25000000</v>
      </c>
      <c r="J81" s="17">
        <v>10822903</v>
      </c>
      <c r="K81" s="20">
        <f>J81/L81</f>
        <v>0.20871524615573753</v>
      </c>
      <c r="L81" s="17">
        <v>51854875</v>
      </c>
      <c r="M81" s="21">
        <f>L81/J81</f>
        <v>4.7912168297174977</v>
      </c>
      <c r="N81" s="17">
        <v>4157767</v>
      </c>
      <c r="O81" s="17">
        <f>L81+N81</f>
        <v>56012642</v>
      </c>
    </row>
    <row r="82" spans="1:15" ht="15" customHeight="1">
      <c r="A82" s="132" t="s">
        <v>173</v>
      </c>
      <c r="B82" s="13">
        <v>41187</v>
      </c>
      <c r="C82" s="14">
        <v>0.87</v>
      </c>
      <c r="D82" s="24">
        <v>75</v>
      </c>
      <c r="E82" s="24">
        <v>74</v>
      </c>
      <c r="F82" s="24"/>
      <c r="G82" s="24">
        <v>4</v>
      </c>
      <c r="H82" s="16">
        <f>O82/I82</f>
        <v>2.0895145641025641</v>
      </c>
      <c r="I82" s="17">
        <v>39000000</v>
      </c>
      <c r="J82" s="17">
        <v>11412213</v>
      </c>
      <c r="K82" s="20">
        <f>J82/L82</f>
        <v>0.32337397666741058</v>
      </c>
      <c r="L82" s="17">
        <v>35291068</v>
      </c>
      <c r="M82" s="21">
        <f>L82/J82</f>
        <v>3.0923947879346452</v>
      </c>
      <c r="N82" s="17">
        <v>46200000</v>
      </c>
      <c r="O82" s="17">
        <f>L82+N82</f>
        <v>81491068</v>
      </c>
    </row>
    <row r="83" spans="1:15" ht="15" customHeight="1">
      <c r="A83" s="131" t="s">
        <v>174</v>
      </c>
      <c r="B83" s="13">
        <v>41222</v>
      </c>
      <c r="C83" s="14">
        <v>0.89</v>
      </c>
      <c r="D83" s="24">
        <v>80</v>
      </c>
      <c r="E83" s="24">
        <v>86</v>
      </c>
      <c r="F83" s="24"/>
      <c r="G83" s="24">
        <v>24</v>
      </c>
      <c r="H83" s="16">
        <f>O83/I83</f>
        <v>4.2352838461538465</v>
      </c>
      <c r="I83" s="17">
        <v>65000000</v>
      </c>
      <c r="J83" s="17">
        <v>21049406</v>
      </c>
      <c r="K83" s="20">
        <f>J83/L83</f>
        <v>0.11552406655662648</v>
      </c>
      <c r="L83" s="17">
        <v>182207973</v>
      </c>
      <c r="M83" s="21">
        <f>L83/J83</f>
        <v>8.6562049779456967</v>
      </c>
      <c r="N83" s="17">
        <v>93085477</v>
      </c>
      <c r="O83" s="17">
        <f>L83+N83</f>
        <v>275293450</v>
      </c>
    </row>
    <row r="84" spans="1:15" ht="15" customHeight="1">
      <c r="A84" s="131" t="s">
        <v>180</v>
      </c>
      <c r="B84" s="13">
        <v>41341</v>
      </c>
      <c r="C84" s="14">
        <v>0.57999999999999996</v>
      </c>
      <c r="D84" s="24">
        <v>60</v>
      </c>
      <c r="E84" s="24">
        <v>44</v>
      </c>
      <c r="F84" s="24"/>
      <c r="G84" s="24">
        <v>31</v>
      </c>
      <c r="H84" s="16">
        <f>O84/I84</f>
        <v>3.0831989062499998</v>
      </c>
      <c r="I84" s="17">
        <v>160000000</v>
      </c>
      <c r="J84" s="17">
        <v>79110453</v>
      </c>
      <c r="K84" s="20">
        <f>J84/L84</f>
        <v>0.3367665846536248</v>
      </c>
      <c r="L84" s="17">
        <v>234911825</v>
      </c>
      <c r="M84" s="21">
        <f>L84/J84</f>
        <v>2.9694157483840979</v>
      </c>
      <c r="N84" s="17">
        <v>258400000</v>
      </c>
      <c r="O84" s="17">
        <f>L84+N84</f>
        <v>493311825</v>
      </c>
    </row>
    <row r="85" spans="1:15" ht="15" customHeight="1">
      <c r="A85" s="131" t="s">
        <v>138</v>
      </c>
      <c r="B85" s="13">
        <v>41397</v>
      </c>
      <c r="C85" s="14">
        <v>0.79</v>
      </c>
      <c r="D85" s="24">
        <v>70</v>
      </c>
      <c r="E85" s="24">
        <v>62</v>
      </c>
      <c r="F85" s="24"/>
      <c r="G85" s="24">
        <v>31</v>
      </c>
      <c r="H85" s="16">
        <f>O85/I85</f>
        <v>6.0740562599999999</v>
      </c>
      <c r="I85" s="17">
        <v>200000000</v>
      </c>
      <c r="J85" s="17">
        <v>174144585</v>
      </c>
      <c r="K85" s="20">
        <f>J85/L85</f>
        <v>0.42576681373889619</v>
      </c>
      <c r="L85" s="17">
        <v>409013994</v>
      </c>
      <c r="M85" s="21">
        <f>L85/J85</f>
        <v>2.3487034868181516</v>
      </c>
      <c r="N85" s="17">
        <v>805797258</v>
      </c>
      <c r="O85" s="17">
        <f>L85+N85</f>
        <v>1214811252</v>
      </c>
    </row>
    <row r="86" spans="1:15" ht="15" customHeight="1">
      <c r="A86" s="130" t="s">
        <v>155</v>
      </c>
      <c r="B86" s="13">
        <v>41458</v>
      </c>
      <c r="C86" s="14">
        <v>0.31</v>
      </c>
      <c r="D86" s="24">
        <v>49</v>
      </c>
      <c r="E86" s="24">
        <v>37</v>
      </c>
      <c r="F86" s="24"/>
      <c r="G86" s="24">
        <v>19</v>
      </c>
      <c r="H86" s="16">
        <f>O86/I86</f>
        <v>1.2116377441860464</v>
      </c>
      <c r="I86" s="17">
        <v>215000000</v>
      </c>
      <c r="J86" s="17">
        <v>29210849</v>
      </c>
      <c r="K86" s="20">
        <f>J86/L86</f>
        <v>0.32710142419359273</v>
      </c>
      <c r="L86" s="17">
        <v>89302115</v>
      </c>
      <c r="M86" s="21">
        <f>L86/J86</f>
        <v>3.0571557505911588</v>
      </c>
      <c r="N86" s="17">
        <v>171200000</v>
      </c>
      <c r="O86" s="17">
        <f>L86+N86</f>
        <v>260502115</v>
      </c>
    </row>
    <row r="87" spans="1:15" ht="15" customHeight="1">
      <c r="A87" s="131" t="s">
        <v>156</v>
      </c>
      <c r="B87" s="13">
        <v>41495</v>
      </c>
      <c r="C87" s="14">
        <v>0.26</v>
      </c>
      <c r="D87" s="24">
        <v>46</v>
      </c>
      <c r="E87" s="24">
        <v>39</v>
      </c>
      <c r="F87" s="24"/>
      <c r="G87" s="24">
        <v>17</v>
      </c>
      <c r="H87" s="16">
        <f>O87/I87</f>
        <v>4.7851742399999999</v>
      </c>
      <c r="I87" s="17">
        <v>50000000</v>
      </c>
      <c r="J87" s="17">
        <v>22232291</v>
      </c>
      <c r="K87" s="20">
        <f>J87/L87</f>
        <v>0.24623555378661288</v>
      </c>
      <c r="L87" s="17">
        <v>90288712</v>
      </c>
      <c r="M87" s="21">
        <f>L87/J87</f>
        <v>4.0611519523561475</v>
      </c>
      <c r="N87" s="17">
        <v>148970000</v>
      </c>
      <c r="O87" s="17">
        <f>L87+N87</f>
        <v>239258712</v>
      </c>
    </row>
    <row r="88" spans="1:15" ht="15" customHeight="1">
      <c r="A88" s="130" t="s">
        <v>157</v>
      </c>
      <c r="B88" s="13">
        <v>41565</v>
      </c>
      <c r="C88" s="14">
        <v>0.36</v>
      </c>
      <c r="D88" s="24">
        <v>54</v>
      </c>
      <c r="E88" s="24">
        <v>49</v>
      </c>
      <c r="F88" s="24"/>
      <c r="G88" s="24">
        <v>0</v>
      </c>
      <c r="H88" s="16">
        <f>O88/I88</f>
        <v>0.30553599999999997</v>
      </c>
      <c r="I88" s="17">
        <v>28000000</v>
      </c>
      <c r="J88" s="17">
        <v>1673351</v>
      </c>
      <c r="K88" s="20">
        <f>J88/L88</f>
        <v>0.51408506522871833</v>
      </c>
      <c r="L88" s="17">
        <v>3255008</v>
      </c>
      <c r="M88" s="21">
        <f>L88/J88</f>
        <v>1.9452033673748066</v>
      </c>
      <c r="N88" s="17">
        <v>5300000</v>
      </c>
      <c r="O88" s="17">
        <f>L88+N88</f>
        <v>8555008</v>
      </c>
    </row>
    <row r="89" spans="1:15" ht="15" customHeight="1">
      <c r="A89" s="130" t="s">
        <v>158</v>
      </c>
      <c r="B89" s="13">
        <v>41600</v>
      </c>
      <c r="C89" s="14">
        <v>0.39</v>
      </c>
      <c r="D89" s="24">
        <v>50</v>
      </c>
      <c r="E89" s="24">
        <v>44</v>
      </c>
      <c r="F89" s="24"/>
      <c r="G89" s="24">
        <v>3</v>
      </c>
      <c r="H89" s="16">
        <f>O89/I89</f>
        <v>1.9224883076923076</v>
      </c>
      <c r="I89" s="17">
        <v>26000000</v>
      </c>
      <c r="J89" s="17">
        <v>7944977</v>
      </c>
      <c r="K89" s="20">
        <f>J89/L89</f>
        <v>0.25909697155364647</v>
      </c>
      <c r="L89" s="17">
        <v>30664106</v>
      </c>
      <c r="M89" s="21">
        <f>L89/J89</f>
        <v>3.859558813071454</v>
      </c>
      <c r="N89" s="17">
        <v>19320590</v>
      </c>
      <c r="O89" s="17">
        <f>L89+N89</f>
        <v>49984696</v>
      </c>
    </row>
    <row r="90" spans="1:15" ht="15" customHeight="1">
      <c r="A90" s="131" t="s">
        <v>159</v>
      </c>
      <c r="B90" s="13">
        <v>41621</v>
      </c>
      <c r="C90" s="14">
        <v>0.79</v>
      </c>
      <c r="D90" s="24">
        <v>69</v>
      </c>
      <c r="E90" s="24">
        <v>65</v>
      </c>
      <c r="F90" s="24"/>
      <c r="G90" s="24">
        <v>17</v>
      </c>
      <c r="H90" s="16">
        <f>O90/I90</f>
        <v>3.3676566857142856</v>
      </c>
      <c r="I90" s="17">
        <v>35000000</v>
      </c>
      <c r="J90" s="17">
        <v>9344381</v>
      </c>
      <c r="K90" s="20">
        <f>J90/L90</f>
        <v>0.1121753152821351</v>
      </c>
      <c r="L90" s="17">
        <v>83301580</v>
      </c>
      <c r="M90" s="21">
        <f>L90/J90</f>
        <v>8.9146172443097083</v>
      </c>
      <c r="N90" s="17">
        <v>34566404</v>
      </c>
      <c r="O90" s="17">
        <f>L90+N90</f>
        <v>117867984</v>
      </c>
    </row>
    <row r="91" spans="1:15" ht="15" customHeight="1">
      <c r="A91" s="131" t="s">
        <v>161</v>
      </c>
      <c r="B91" s="13">
        <v>41712</v>
      </c>
      <c r="C91" s="14">
        <v>0.22</v>
      </c>
      <c r="D91" s="24">
        <v>43</v>
      </c>
      <c r="E91" s="24">
        <v>39</v>
      </c>
      <c r="F91" s="24"/>
      <c r="G91" s="24">
        <v>6</v>
      </c>
      <c r="H91" s="16">
        <f>O91/I91</f>
        <v>3.0799641818181818</v>
      </c>
      <c r="I91" s="17">
        <v>66000000</v>
      </c>
      <c r="J91" s="17">
        <v>17844939</v>
      </c>
      <c r="K91" s="20">
        <f>J91/L91</f>
        <v>0.40949763773326298</v>
      </c>
      <c r="L91" s="17">
        <v>43577636</v>
      </c>
      <c r="M91" s="21">
        <f>L91/J91</f>
        <v>2.4420165291682983</v>
      </c>
      <c r="N91" s="17">
        <v>159700000</v>
      </c>
      <c r="O91" s="17">
        <f>L91+N91</f>
        <v>203277636</v>
      </c>
    </row>
    <row r="92" spans="1:15" ht="15" customHeight="1">
      <c r="A92" s="130" t="s">
        <v>162</v>
      </c>
      <c r="B92" s="13">
        <v>41719</v>
      </c>
      <c r="C92" s="14">
        <v>0.79</v>
      </c>
      <c r="D92" s="24">
        <v>67</v>
      </c>
      <c r="E92" s="24">
        <v>61</v>
      </c>
      <c r="F92" s="24"/>
      <c r="G92" s="24">
        <v>10</v>
      </c>
      <c r="H92" s="16">
        <f>O92/I92</f>
        <v>1.6076657999999999</v>
      </c>
      <c r="I92" s="17">
        <v>50000000</v>
      </c>
      <c r="J92" s="17">
        <v>17005126</v>
      </c>
      <c r="K92" s="20">
        <f>J92/L92</f>
        <v>0.33224094829870937</v>
      </c>
      <c r="L92" s="17">
        <v>51183113</v>
      </c>
      <c r="M92" s="21">
        <f>L92/J92</f>
        <v>3.0098637904829402</v>
      </c>
      <c r="N92" s="17">
        <v>29200177</v>
      </c>
      <c r="O92" s="17">
        <f>L92+N92</f>
        <v>80383290</v>
      </c>
    </row>
    <row r="93" spans="1:15" ht="15" customHeight="1">
      <c r="A93" s="130" t="s">
        <v>163</v>
      </c>
      <c r="B93" s="13">
        <v>41775</v>
      </c>
      <c r="C93" s="14">
        <v>0.65</v>
      </c>
      <c r="D93" s="24">
        <v>60</v>
      </c>
      <c r="E93" s="24">
        <v>56</v>
      </c>
      <c r="F93" s="24"/>
      <c r="G93" s="24">
        <v>3</v>
      </c>
      <c r="H93" s="16">
        <f>O93/I93</f>
        <v>1.5691032</v>
      </c>
      <c r="I93" s="17">
        <v>25000000</v>
      </c>
      <c r="J93" s="17">
        <v>10515659</v>
      </c>
      <c r="K93" s="20">
        <f>J93/L93</f>
        <v>0.28843509205906354</v>
      </c>
      <c r="L93" s="17">
        <v>36457627</v>
      </c>
      <c r="M93" s="21">
        <f>L93/J93</f>
        <v>3.4669845227959559</v>
      </c>
      <c r="N93" s="17">
        <v>2769953</v>
      </c>
      <c r="O93" s="17">
        <f>L93+N93</f>
        <v>39227580</v>
      </c>
    </row>
    <row r="94" spans="1:15" ht="15" customHeight="1">
      <c r="A94" s="131" t="s">
        <v>165</v>
      </c>
      <c r="B94" s="13">
        <v>41838</v>
      </c>
      <c r="C94" s="14">
        <v>0.43</v>
      </c>
      <c r="D94" s="24">
        <v>52</v>
      </c>
      <c r="E94" s="24">
        <v>48</v>
      </c>
      <c r="F94" s="24"/>
      <c r="G94" s="24">
        <v>17</v>
      </c>
      <c r="H94" s="16">
        <f>O94/I94</f>
        <v>3.0277327999999999</v>
      </c>
      <c r="I94" s="17">
        <v>50000000</v>
      </c>
      <c r="J94" s="17">
        <v>17509407</v>
      </c>
      <c r="K94" s="20">
        <f>J94/L94</f>
        <v>0.29593803932668045</v>
      </c>
      <c r="L94" s="17">
        <v>59165787</v>
      </c>
      <c r="M94" s="21">
        <f>L94/J94</f>
        <v>3.3790857108981474</v>
      </c>
      <c r="N94" s="17">
        <v>92220853</v>
      </c>
      <c r="O94" s="17">
        <f>L94+N94</f>
        <v>151386640</v>
      </c>
    </row>
    <row r="95" spans="1:15" ht="15" customHeight="1">
      <c r="A95" s="131" t="s">
        <v>166</v>
      </c>
      <c r="B95" s="13">
        <v>41859</v>
      </c>
      <c r="C95" s="14">
        <v>0.66</v>
      </c>
      <c r="D95" s="24">
        <v>62</v>
      </c>
      <c r="E95" s="24">
        <v>55</v>
      </c>
      <c r="F95" s="24"/>
      <c r="G95" s="24">
        <v>10</v>
      </c>
      <c r="H95" s="16">
        <f>O95/I95</f>
        <v>4.0400373181818185</v>
      </c>
      <c r="I95" s="17">
        <v>22000000</v>
      </c>
      <c r="J95" s="17">
        <v>10979290</v>
      </c>
      <c r="K95" s="20">
        <f>J95/L95</f>
        <v>0.20241747447001218</v>
      </c>
      <c r="L95" s="17">
        <v>54240821</v>
      </c>
      <c r="M95" s="21">
        <f>L95/J95</f>
        <v>4.9402849364576396</v>
      </c>
      <c r="N95" s="17">
        <v>34640000</v>
      </c>
      <c r="O95" s="17">
        <f>L95+N95</f>
        <v>88880821</v>
      </c>
    </row>
    <row r="96" spans="1:15" ht="15" customHeight="1">
      <c r="A96" s="131" t="s">
        <v>167</v>
      </c>
      <c r="B96" s="13">
        <v>41922</v>
      </c>
      <c r="C96" s="14">
        <v>0.61</v>
      </c>
      <c r="D96" s="24">
        <v>57</v>
      </c>
      <c r="E96" s="24">
        <v>54</v>
      </c>
      <c r="F96" s="24"/>
      <c r="G96" s="24">
        <v>5</v>
      </c>
      <c r="H96" s="16">
        <f>O96/I96</f>
        <v>3.6206888214285713</v>
      </c>
      <c r="I96" s="17">
        <v>28000000</v>
      </c>
      <c r="J96" s="17">
        <v>18360230</v>
      </c>
      <c r="K96" s="20">
        <f>J96/L96</f>
        <v>0.27422094484391102</v>
      </c>
      <c r="L96" s="17">
        <v>66954149</v>
      </c>
      <c r="M96" s="21">
        <f>L96/J96</f>
        <v>3.6466944586206163</v>
      </c>
      <c r="N96" s="17">
        <v>34425138</v>
      </c>
      <c r="O96" s="17">
        <f>L96+N96</f>
        <v>101379287</v>
      </c>
    </row>
    <row r="97" spans="1:15" ht="15" customHeight="1">
      <c r="A97" s="131" t="s">
        <v>168</v>
      </c>
      <c r="B97" s="13">
        <v>41998</v>
      </c>
      <c r="C97" s="14">
        <v>0.71</v>
      </c>
      <c r="D97" s="24">
        <v>66</v>
      </c>
      <c r="E97" s="24">
        <v>69</v>
      </c>
      <c r="F97" s="24"/>
      <c r="G97" s="24">
        <v>18</v>
      </c>
      <c r="H97" s="16">
        <f>O97/I97</f>
        <v>4.26232802</v>
      </c>
      <c r="I97" s="17">
        <v>50000000</v>
      </c>
      <c r="J97" s="17">
        <v>31051923</v>
      </c>
      <c r="K97" s="20">
        <f>J97/L97</f>
        <v>0.24258865296652471</v>
      </c>
      <c r="L97" s="17">
        <v>128002372</v>
      </c>
      <c r="M97" s="21">
        <f>L97/J97</f>
        <v>4.1222043478595509</v>
      </c>
      <c r="N97" s="17">
        <v>85114029</v>
      </c>
      <c r="O97" s="17">
        <f>L97+N97</f>
        <v>213116401</v>
      </c>
    </row>
    <row r="98" spans="1:15" ht="15" customHeight="1">
      <c r="A98" s="130" t="s">
        <v>175</v>
      </c>
      <c r="B98" s="13">
        <v>42027</v>
      </c>
      <c r="C98" s="14">
        <v>0.16</v>
      </c>
      <c r="D98" s="24">
        <v>37</v>
      </c>
      <c r="E98" s="24">
        <v>25</v>
      </c>
      <c r="F98" s="24"/>
      <c r="G98" s="24">
        <v>3</v>
      </c>
      <c r="H98" s="16">
        <f>O98/I98</f>
        <v>0.16004062352941176</v>
      </c>
      <c r="I98" s="17">
        <v>85000000</v>
      </c>
      <c r="J98" s="17">
        <v>5504441</v>
      </c>
      <c r="K98" s="20">
        <f>J98/L98</f>
        <v>0.44285001355234521</v>
      </c>
      <c r="L98" s="17">
        <v>12429583</v>
      </c>
      <c r="M98" s="21">
        <f>L98/J98</f>
        <v>2.2581008680082135</v>
      </c>
      <c r="N98" s="17">
        <v>1173870</v>
      </c>
      <c r="O98" s="17">
        <f>L98+N98</f>
        <v>13603453</v>
      </c>
    </row>
    <row r="99" spans="1:15" ht="15" customHeight="1">
      <c r="A99" s="130" t="s">
        <v>176</v>
      </c>
      <c r="B99" s="13">
        <v>42055</v>
      </c>
      <c r="C99" s="14">
        <v>0.8</v>
      </c>
      <c r="D99" s="24">
        <v>67</v>
      </c>
      <c r="E99" s="24">
        <v>60</v>
      </c>
      <c r="F99" s="24"/>
      <c r="G99" s="24">
        <v>3</v>
      </c>
      <c r="H99" s="16">
        <f>O99/I99</f>
        <v>1.8284023599999999</v>
      </c>
      <c r="I99" s="17">
        <v>25000000</v>
      </c>
      <c r="J99" s="17">
        <v>11020798</v>
      </c>
      <c r="K99" s="20">
        <f>J99/L99</f>
        <v>0.24775631536151033</v>
      </c>
      <c r="L99" s="17">
        <v>44482410</v>
      </c>
      <c r="M99" s="21">
        <f>L99/J99</f>
        <v>4.0362240556446096</v>
      </c>
      <c r="N99" s="17">
        <v>1227649</v>
      </c>
      <c r="O99" s="17">
        <f>L99+N99</f>
        <v>45710059</v>
      </c>
    </row>
    <row r="100" spans="1:15" ht="15" customHeight="1">
      <c r="A100" s="130" t="s">
        <v>177</v>
      </c>
      <c r="B100" s="13">
        <v>42146</v>
      </c>
      <c r="C100" s="14">
        <v>0.5</v>
      </c>
      <c r="D100" s="24">
        <v>59</v>
      </c>
      <c r="E100" s="24">
        <v>60</v>
      </c>
      <c r="F100" s="24"/>
      <c r="G100" s="24">
        <v>17</v>
      </c>
      <c r="H100" s="16">
        <f>O100/I100</f>
        <v>1.1008122210526317</v>
      </c>
      <c r="I100" s="17">
        <v>190000000</v>
      </c>
      <c r="J100" s="17">
        <v>33028165</v>
      </c>
      <c r="K100" s="20">
        <f>J100/L100</f>
        <v>0.35348314545172271</v>
      </c>
      <c r="L100" s="17">
        <v>93436322</v>
      </c>
      <c r="M100" s="21">
        <f>L100/J100</f>
        <v>2.8289891975530583</v>
      </c>
      <c r="N100" s="17">
        <v>115718000</v>
      </c>
      <c r="O100" s="17">
        <f>L100+N100</f>
        <v>209154322</v>
      </c>
    </row>
    <row r="101" spans="1:15" ht="15" customHeight="1">
      <c r="A101" s="131" t="s">
        <v>178</v>
      </c>
      <c r="B101" s="13">
        <v>42293</v>
      </c>
      <c r="C101" s="14">
        <v>0.91</v>
      </c>
      <c r="D101" s="24">
        <v>77</v>
      </c>
      <c r="E101" s="24">
        <v>81</v>
      </c>
      <c r="F101" s="24"/>
      <c r="G101" s="24">
        <v>10</v>
      </c>
      <c r="H101" s="16">
        <f>O101/I101</f>
        <v>4.1369587000000001</v>
      </c>
      <c r="I101" s="17">
        <v>40000000</v>
      </c>
      <c r="J101" s="17">
        <v>15371203</v>
      </c>
      <c r="K101" s="20">
        <f>J101/L101</f>
        <v>0.21256264748750286</v>
      </c>
      <c r="L101" s="17">
        <v>72313754</v>
      </c>
      <c r="M101" s="21">
        <f>L101/J101</f>
        <v>4.7044954126232019</v>
      </c>
      <c r="N101" s="17">
        <v>93164594</v>
      </c>
      <c r="O101" s="17">
        <f>L101+N101</f>
        <v>165478348</v>
      </c>
    </row>
    <row r="102" spans="1:15" ht="15" customHeight="1">
      <c r="A102" s="130" t="s">
        <v>10</v>
      </c>
      <c r="B102" s="13">
        <v>42398</v>
      </c>
      <c r="C102" s="14">
        <v>0.64</v>
      </c>
      <c r="D102" s="15">
        <v>60</v>
      </c>
      <c r="E102" s="15">
        <v>58</v>
      </c>
      <c r="F102" s="15"/>
      <c r="G102" s="24">
        <v>3</v>
      </c>
      <c r="H102" s="16">
        <f>O102/I102</f>
        <v>0.74427271428571429</v>
      </c>
      <c r="I102" s="17">
        <v>70000000</v>
      </c>
      <c r="J102" s="18">
        <v>10288932</v>
      </c>
      <c r="K102" s="20">
        <f>J102/L102</f>
        <v>0.3731990190049474</v>
      </c>
      <c r="L102" s="17">
        <v>27569558</v>
      </c>
      <c r="M102" s="21">
        <f>L102/J102</f>
        <v>2.6795354464389503</v>
      </c>
      <c r="N102" s="17">
        <v>24529532</v>
      </c>
      <c r="O102" s="17">
        <f>L102+N102</f>
        <v>52099090</v>
      </c>
    </row>
    <row r="103" spans="1:15" ht="15" customHeight="1">
      <c r="A103" s="130" t="s">
        <v>13</v>
      </c>
      <c r="B103" s="13">
        <v>42517</v>
      </c>
      <c r="C103" s="14">
        <v>0.3</v>
      </c>
      <c r="D103" s="15">
        <v>46</v>
      </c>
      <c r="E103" s="15">
        <v>34</v>
      </c>
      <c r="F103" s="15"/>
      <c r="G103" s="24">
        <v>17</v>
      </c>
      <c r="H103" s="16">
        <f>O103/I103</f>
        <v>1.761511905882353</v>
      </c>
      <c r="I103" s="17">
        <v>170000000</v>
      </c>
      <c r="J103" s="17">
        <v>26858726</v>
      </c>
      <c r="K103" s="20">
        <f>J103/L103</f>
        <v>0.3486272656509104</v>
      </c>
      <c r="L103" s="17">
        <v>77041381</v>
      </c>
      <c r="M103" s="21">
        <f>L103/J103</f>
        <v>2.8683929758991549</v>
      </c>
      <c r="N103" s="17">
        <v>222415643</v>
      </c>
      <c r="O103" s="17">
        <f>L103+N103</f>
        <v>299457024</v>
      </c>
    </row>
    <row r="104" spans="1:15" ht="15" customHeight="1">
      <c r="A104" s="130" t="s">
        <v>14</v>
      </c>
      <c r="B104" s="13">
        <v>42552</v>
      </c>
      <c r="C104" s="14">
        <v>0.75</v>
      </c>
      <c r="D104" s="15">
        <v>68</v>
      </c>
      <c r="E104" s="15">
        <v>66</v>
      </c>
      <c r="F104" s="15"/>
      <c r="G104" s="24">
        <v>17</v>
      </c>
      <c r="H104" s="16">
        <f>O104/I104</f>
        <v>1.30961135</v>
      </c>
      <c r="I104" s="17">
        <v>140000000</v>
      </c>
      <c r="J104" s="17">
        <v>18775350</v>
      </c>
      <c r="K104" s="20">
        <f>J104/L104</f>
        <v>0.33839355184407982</v>
      </c>
      <c r="L104" s="17">
        <v>55483770</v>
      </c>
      <c r="M104" s="21">
        <f>L104/J104</f>
        <v>2.9551390520016936</v>
      </c>
      <c r="N104" s="17">
        <v>127861819</v>
      </c>
      <c r="O104" s="17">
        <f>L104+N104</f>
        <v>183345589</v>
      </c>
    </row>
    <row r="105" spans="1:15" ht="15" customHeight="1">
      <c r="A105" s="133" t="s">
        <v>16</v>
      </c>
      <c r="B105" s="13">
        <v>42594</v>
      </c>
      <c r="C105" s="14">
        <v>0.88</v>
      </c>
      <c r="D105" s="15">
        <v>74</v>
      </c>
      <c r="E105" s="15">
        <v>71</v>
      </c>
      <c r="F105" s="15"/>
      <c r="G105" s="24">
        <v>12</v>
      </c>
      <c r="H105" s="16">
        <f>O105/I105</f>
        <v>2.2106588769230768</v>
      </c>
      <c r="I105" s="17">
        <v>65000000</v>
      </c>
      <c r="J105" s="17">
        <v>21514095</v>
      </c>
      <c r="K105" s="20">
        <f>J105/L105</f>
        <v>0.28221442663441787</v>
      </c>
      <c r="L105" s="17">
        <v>76233151</v>
      </c>
      <c r="M105" s="21">
        <f>L105/J105</f>
        <v>3.5434049631183648</v>
      </c>
      <c r="N105" s="17">
        <v>67459676</v>
      </c>
      <c r="O105" s="17">
        <f>L105+N105</f>
        <v>143692827</v>
      </c>
    </row>
    <row r="106" spans="1:15" ht="15" customHeight="1">
      <c r="A106" s="130" t="s">
        <v>452</v>
      </c>
      <c r="B106" s="13">
        <v>42615</v>
      </c>
      <c r="C106" s="14">
        <v>0.62</v>
      </c>
      <c r="D106" s="24">
        <v>62</v>
      </c>
      <c r="E106" s="24">
        <v>60</v>
      </c>
      <c r="F106" s="24"/>
      <c r="G106" s="24">
        <v>4</v>
      </c>
      <c r="H106" s="16">
        <f>O106/I106</f>
        <v>1.2987810500000001</v>
      </c>
      <c r="I106" s="17">
        <v>20000000</v>
      </c>
      <c r="J106" s="17">
        <v>4765838</v>
      </c>
      <c r="K106" s="20">
        <f>J106/L106</f>
        <v>0.3798697574736894</v>
      </c>
      <c r="L106" s="17">
        <v>12545979</v>
      </c>
      <c r="M106" s="21">
        <f>L106/J106</f>
        <v>2.6324812131675479</v>
      </c>
      <c r="N106" s="17">
        <v>13429642</v>
      </c>
      <c r="O106" s="17">
        <f>L106+N106</f>
        <v>25975621</v>
      </c>
    </row>
    <row r="107" spans="1:15" ht="15" customHeight="1">
      <c r="A107" s="130" t="s">
        <v>453</v>
      </c>
      <c r="B107" s="13">
        <v>42636</v>
      </c>
      <c r="C107" s="14">
        <v>0.93</v>
      </c>
      <c r="D107" s="24">
        <v>74</v>
      </c>
      <c r="E107" s="24">
        <v>73</v>
      </c>
      <c r="F107" s="24"/>
      <c r="G107" s="24">
        <v>1</v>
      </c>
      <c r="H107" s="16">
        <f>O107/I107</f>
        <v>0.69114406666666661</v>
      </c>
      <c r="I107" s="17">
        <v>15000000</v>
      </c>
      <c r="J107" s="17">
        <v>2495427</v>
      </c>
      <c r="K107" s="20">
        <f>J107/L107</f>
        <v>0.2811942320761463</v>
      </c>
      <c r="L107" s="17">
        <v>8874389</v>
      </c>
      <c r="M107" s="21">
        <f>L107/J107</f>
        <v>3.5562607120945633</v>
      </c>
      <c r="N107" s="17">
        <v>1492772</v>
      </c>
      <c r="O107" s="17">
        <f>L107+N107</f>
        <v>10367161</v>
      </c>
    </row>
    <row r="108" spans="1:15" ht="15" customHeight="1">
      <c r="A108" s="131" t="s">
        <v>24</v>
      </c>
      <c r="B108" s="13">
        <v>42881</v>
      </c>
      <c r="C108" s="14">
        <v>0.3</v>
      </c>
      <c r="D108" s="15">
        <v>47</v>
      </c>
      <c r="E108" s="15">
        <v>39</v>
      </c>
      <c r="F108" s="15"/>
      <c r="G108" s="24">
        <v>26</v>
      </c>
      <c r="H108" s="16">
        <f>O108/I108</f>
        <v>3.4559208434782609</v>
      </c>
      <c r="I108" s="17">
        <v>230000000</v>
      </c>
      <c r="J108" s="17">
        <v>62983253</v>
      </c>
      <c r="K108" s="20">
        <f>J108/L108</f>
        <v>0.36499573050070167</v>
      </c>
      <c r="L108" s="17">
        <v>172558876</v>
      </c>
      <c r="M108" s="21">
        <f>L108/J108</f>
        <v>2.7397580750552848</v>
      </c>
      <c r="N108" s="17">
        <v>622302918</v>
      </c>
      <c r="O108" s="17">
        <f>L108+N108</f>
        <v>794861794</v>
      </c>
    </row>
    <row r="109" spans="1:15" ht="15" customHeight="1">
      <c r="A109" s="132" t="s">
        <v>231</v>
      </c>
      <c r="B109" s="13">
        <v>43756</v>
      </c>
      <c r="C109" s="14">
        <v>0.4</v>
      </c>
      <c r="D109" s="24">
        <v>51</v>
      </c>
      <c r="E109" s="24">
        <v>43</v>
      </c>
      <c r="F109" s="24"/>
      <c r="G109" s="24">
        <v>17</v>
      </c>
      <c r="H109" s="16">
        <f>O109/I109</f>
        <v>2.6580004810810811</v>
      </c>
      <c r="I109" s="17">
        <v>185000000</v>
      </c>
      <c r="J109" s="17">
        <v>36948713</v>
      </c>
      <c r="K109" s="20">
        <f>J109/L109</f>
        <v>0.32431178006805167</v>
      </c>
      <c r="L109" s="17">
        <v>113929605</v>
      </c>
      <c r="M109" s="21">
        <f>L109/J109</f>
        <v>3.0834525954936507</v>
      </c>
      <c r="N109" s="17">
        <v>377800484</v>
      </c>
      <c r="O109" s="17">
        <f>L109+N109</f>
        <v>491730089</v>
      </c>
    </row>
    <row r="110" spans="1:15" ht="15" customHeight="1">
      <c r="A110" s="141" t="s">
        <v>260</v>
      </c>
      <c r="B110" s="142">
        <v>44344</v>
      </c>
      <c r="C110" s="143"/>
      <c r="D110" s="144"/>
      <c r="E110" s="144"/>
      <c r="F110" s="144"/>
      <c r="G110" s="145"/>
      <c r="H110" s="146">
        <f>O110/I110</f>
        <v>0</v>
      </c>
      <c r="I110" s="147">
        <v>100000000</v>
      </c>
      <c r="J110" s="147"/>
      <c r="K110" s="148" t="e">
        <f>J110/L110</f>
        <v>#DIV/0!</v>
      </c>
      <c r="L110" s="147"/>
      <c r="M110" s="149" t="e">
        <f>L110/J110</f>
        <v>#DIV/0!</v>
      </c>
      <c r="N110" s="147"/>
      <c r="O110" s="147">
        <f>L110+N110</f>
        <v>0</v>
      </c>
    </row>
    <row r="111" spans="1:15" ht="15" customHeight="1">
      <c r="A111" s="141" t="s">
        <v>468</v>
      </c>
      <c r="B111" s="142">
        <v>44386</v>
      </c>
      <c r="C111" s="143"/>
      <c r="D111" s="144"/>
      <c r="E111" s="144"/>
      <c r="F111" s="144"/>
      <c r="G111" s="145"/>
      <c r="H111" s="146" t="e">
        <f>O111/I111</f>
        <v>#DIV/0!</v>
      </c>
      <c r="I111" s="147"/>
      <c r="J111" s="147"/>
      <c r="K111" s="148" t="e">
        <f>J111/L111</f>
        <v>#DIV/0!</v>
      </c>
      <c r="L111" s="147"/>
      <c r="M111" s="149" t="e">
        <f>L111/J111</f>
        <v>#DIV/0!</v>
      </c>
      <c r="N111" s="147"/>
      <c r="O111" s="147">
        <f>L111+N111</f>
        <v>0</v>
      </c>
    </row>
    <row r="112" spans="1:15" ht="15" customHeight="1">
      <c r="A112" s="141" t="s">
        <v>206</v>
      </c>
      <c r="B112" s="142">
        <v>44407</v>
      </c>
      <c r="C112" s="143"/>
      <c r="D112" s="144"/>
      <c r="E112" s="144"/>
      <c r="F112" s="144"/>
      <c r="G112" s="145"/>
      <c r="H112" s="146" t="e">
        <f>O112/I112</f>
        <v>#DIV/0!</v>
      </c>
      <c r="I112" s="147"/>
      <c r="J112" s="147"/>
      <c r="K112" s="148" t="e">
        <f>J112/L112</f>
        <v>#DIV/0!</v>
      </c>
      <c r="L112" s="147"/>
      <c r="M112" s="149" t="e">
        <f>L112/J112</f>
        <v>#DIV/0!</v>
      </c>
      <c r="N112" s="147"/>
      <c r="O112" s="147">
        <f>L112+N112</f>
        <v>0</v>
      </c>
    </row>
    <row r="113" spans="1:15" ht="15" customHeight="1">
      <c r="A113" s="134" t="s">
        <v>306</v>
      </c>
      <c r="B113" s="124">
        <v>44442</v>
      </c>
      <c r="C113" s="14"/>
      <c r="D113" s="15"/>
      <c r="E113" s="15"/>
      <c r="F113" s="15"/>
      <c r="G113" s="23"/>
      <c r="H113" s="146" t="e">
        <f>O113/I113</f>
        <v>#DIV/0!</v>
      </c>
      <c r="I113" s="17"/>
      <c r="J113" s="17"/>
      <c r="K113" s="148" t="e">
        <f>J113/L113</f>
        <v>#DIV/0!</v>
      </c>
      <c r="L113" s="17"/>
      <c r="M113" s="149" t="e">
        <f>L113/J113</f>
        <v>#DIV/0!</v>
      </c>
      <c r="N113" s="17"/>
      <c r="O113" s="147">
        <f>L113+N113</f>
        <v>0</v>
      </c>
    </row>
    <row r="114" spans="1:15" ht="15" customHeight="1">
      <c r="C114" s="128"/>
    </row>
    <row r="115" spans="1:15" ht="15" customHeight="1">
      <c r="C115" s="128"/>
    </row>
    <row r="116" spans="1:15" ht="15" customHeight="1">
      <c r="C116" s="128"/>
    </row>
    <row r="117" spans="1:15" ht="15" customHeight="1">
      <c r="C117" s="128"/>
    </row>
    <row r="118" spans="1:15" ht="15" customHeight="1">
      <c r="C118" s="128"/>
    </row>
    <row r="119" spans="1:15" ht="15" customHeight="1">
      <c r="C119" s="128"/>
    </row>
    <row r="120" spans="1:15" ht="15" customHeight="1">
      <c r="C120" s="128"/>
    </row>
    <row r="121" spans="1:15" ht="15" customHeight="1">
      <c r="C121" s="128"/>
    </row>
  </sheetData>
  <autoFilter ref="A1:O1" xr:uid="{D2ACAE64-B6F1-49FA-B6AB-90B77A43BEB5}">
    <sortState xmlns:xlrd2="http://schemas.microsoft.com/office/spreadsheetml/2017/richdata2" ref="A2:O113">
      <sortCondition ref="F119"/>
    </sortState>
  </autoFilter>
  <sortState xmlns:xlrd2="http://schemas.microsoft.com/office/spreadsheetml/2017/richdata2" ref="A2:O105">
    <sortCondition ref="B2"/>
  </sortState>
  <conditionalFormatting sqref="D18 C2:D17 C106:D106 C108:D108 C109:C121 D109:D113">
    <cfRule type="cellIs" dxfId="422" priority="80" operator="between">
      <formula>0.005</formula>
      <formula>0.394999999999999</formula>
    </cfRule>
  </conditionalFormatting>
  <conditionalFormatting sqref="D18 C2:D17 C106:D106 C108:D108 C109:C121 D109:D113">
    <cfRule type="cellIs" dxfId="421" priority="77" operator="between">
      <formula>0.745</formula>
      <formula>1</formula>
    </cfRule>
  </conditionalFormatting>
  <conditionalFormatting sqref="D18 C2:D17 C106:D106 C108:D108 C109:C121 D109:D113">
    <cfRule type="cellIs" dxfId="420" priority="78" operator="between">
      <formula>0.595</formula>
      <formula>0.744999999999999</formula>
    </cfRule>
  </conditionalFormatting>
  <conditionalFormatting sqref="D18 C2:D17 C106:D106 C108:D108 C109:C121 D109:D113">
    <cfRule type="cellIs" dxfId="419" priority="79" operator="between">
      <formula>0.395</formula>
      <formula>0.594999999999999</formula>
    </cfRule>
  </conditionalFormatting>
  <conditionalFormatting sqref="D2:D18">
    <cfRule type="cellIs" dxfId="418" priority="73" operator="between">
      <formula>40</formula>
      <formula>59</formula>
    </cfRule>
  </conditionalFormatting>
  <conditionalFormatting sqref="D1">
    <cfRule type="cellIs" dxfId="417" priority="69" operator="between">
      <formula>40</formula>
      <formula>59</formula>
    </cfRule>
    <cfRule type="cellIs" dxfId="416" priority="70" operator="between">
      <formula>1</formula>
      <formula>39</formula>
    </cfRule>
    <cfRule type="cellIs" dxfId="415" priority="71" operator="between">
      <formula>60</formula>
      <formula>70</formula>
    </cfRule>
  </conditionalFormatting>
  <conditionalFormatting sqref="D19:D81">
    <cfRule type="cellIs" dxfId="414" priority="67" operator="between">
      <formula>40</formula>
      <formula>59</formula>
    </cfRule>
  </conditionalFormatting>
  <conditionalFormatting sqref="C18:C81">
    <cfRule type="cellIs" dxfId="413" priority="62" operator="between">
      <formula>0.39</formula>
      <formula>0.01</formula>
    </cfRule>
    <cfRule type="cellIs" dxfId="412" priority="63" operator="between">
      <formula>0.4</formula>
      <formula>0.59</formula>
    </cfRule>
    <cfRule type="cellIs" dxfId="411" priority="64" operator="between">
      <formula>0.6</formula>
      <formula>0.74</formula>
    </cfRule>
    <cfRule type="cellIs" dxfId="410" priority="65" operator="greaterThan">
      <formula>0.74</formula>
    </cfRule>
  </conditionalFormatting>
  <conditionalFormatting sqref="D2:D81">
    <cfRule type="cellIs" dxfId="409" priority="72" operator="between">
      <formula>71</formula>
      <formula>100</formula>
    </cfRule>
    <cfRule type="cellIs" dxfId="408" priority="74" operator="between">
      <formula>1</formula>
      <formula>39</formula>
    </cfRule>
    <cfRule type="cellIs" dxfId="407" priority="75" operator="between">
      <formula>60</formula>
      <formula>70</formula>
    </cfRule>
    <cfRule type="cellIs" dxfId="406" priority="76" operator="between">
      <formula>71</formula>
      <formula>100</formula>
    </cfRule>
  </conditionalFormatting>
  <conditionalFormatting sqref="D82:D105">
    <cfRule type="cellIs" dxfId="405" priority="25" operator="between">
      <formula>40</formula>
      <formula>59</formula>
    </cfRule>
  </conditionalFormatting>
  <conditionalFormatting sqref="C82:C105">
    <cfRule type="cellIs" dxfId="404" priority="21" operator="between">
      <formula>0.39</formula>
      <formula>0.01</formula>
    </cfRule>
    <cfRule type="cellIs" dxfId="403" priority="22" operator="between">
      <formula>0.4</formula>
      <formula>0.59</formula>
    </cfRule>
    <cfRule type="cellIs" dxfId="402" priority="23" operator="between">
      <formula>0.6</formula>
      <formula>0.74</formula>
    </cfRule>
    <cfRule type="cellIs" dxfId="401" priority="24" operator="greaterThan">
      <formula>0.74</formula>
    </cfRule>
  </conditionalFormatting>
  <conditionalFormatting sqref="D82:D105">
    <cfRule type="cellIs" dxfId="400" priority="26" operator="between">
      <formula>71</formula>
      <formula>100</formula>
    </cfRule>
    <cfRule type="cellIs" dxfId="399" priority="27" operator="between">
      <formula>1</formula>
      <formula>39</formula>
    </cfRule>
    <cfRule type="cellIs" dxfId="398" priority="28" operator="between">
      <formula>60</formula>
      <formula>70</formula>
    </cfRule>
    <cfRule type="cellIs" dxfId="397" priority="29" operator="between">
      <formula>71</formula>
      <formula>100</formula>
    </cfRule>
  </conditionalFormatting>
  <conditionalFormatting sqref="D106 D108:D113">
    <cfRule type="cellIs" dxfId="396" priority="9" operator="between">
      <formula>40</formula>
      <formula>59</formula>
    </cfRule>
    <cfRule type="cellIs" dxfId="395" priority="10" operator="between">
      <formula>1</formula>
      <formula>39</formula>
    </cfRule>
    <cfRule type="cellIs" dxfId="394" priority="11" operator="between">
      <formula>60</formula>
      <formula>70</formula>
    </cfRule>
    <cfRule type="cellIs" dxfId="393" priority="12" operator="between">
      <formula>71</formula>
      <formula>100</formula>
    </cfRule>
  </conditionalFormatting>
  <conditionalFormatting sqref="C107:D107">
    <cfRule type="cellIs" dxfId="392" priority="8" operator="between">
      <formula>0.005</formula>
      <formula>0.394999999999999</formula>
    </cfRule>
  </conditionalFormatting>
  <conditionalFormatting sqref="C107:D107">
    <cfRule type="cellIs" dxfId="391" priority="5" operator="between">
      <formula>0.745</formula>
      <formula>1</formula>
    </cfRule>
  </conditionalFormatting>
  <conditionalFormatting sqref="C107:D107">
    <cfRule type="cellIs" dxfId="390" priority="6" operator="between">
      <formula>0.595</formula>
      <formula>0.744999999999999</formula>
    </cfRule>
  </conditionalFormatting>
  <conditionalFormatting sqref="C107:D107">
    <cfRule type="cellIs" dxfId="389" priority="7" operator="between">
      <formula>0.395</formula>
      <formula>0.594999999999999</formula>
    </cfRule>
  </conditionalFormatting>
  <conditionalFormatting sqref="D107">
    <cfRule type="cellIs" dxfId="388" priority="1" operator="between">
      <formula>40</formula>
      <formula>59</formula>
    </cfRule>
    <cfRule type="cellIs" dxfId="387" priority="2" operator="between">
      <formula>1</formula>
      <formula>39</formula>
    </cfRule>
    <cfRule type="cellIs" dxfId="386" priority="3" operator="between">
      <formula>60</formula>
      <formula>70</formula>
    </cfRule>
    <cfRule type="cellIs" dxfId="385" priority="4" operator="between">
      <formula>71</formula>
      <formula>100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Movie">
                <anchor moveWithCells="1" sizeWithCells="1">
                  <from>
                    <xdr:col>0</xdr:col>
                    <xdr:colOff>0</xdr:colOff>
                    <xdr:row>114</xdr:row>
                    <xdr:rowOff>0</xdr:rowOff>
                  </from>
                  <to>
                    <xdr:col>1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omatoSort">
                <anchor moveWithCells="1" sizeWithCells="1">
                  <from>
                    <xdr:col>2</xdr:col>
                    <xdr:colOff>0</xdr:colOff>
                    <xdr:row>114</xdr:row>
                    <xdr:rowOff>0</xdr:rowOff>
                  </from>
                  <to>
                    <xdr:col>3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DateSort">
                <anchor moveWithCells="1" sizeWithCells="1">
                  <from>
                    <xdr:col>1</xdr:col>
                    <xdr:colOff>0</xdr:colOff>
                    <xdr:row>114</xdr:row>
                    <xdr:rowOff>0</xdr:rowOff>
                  </from>
                  <to>
                    <xdr:col>2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68"/>
  <sheetViews>
    <sheetView zoomScale="89" zoomScaleNormal="89" workbookViewId="0">
      <selection activeCell="B25" sqref="B25"/>
    </sheetView>
  </sheetViews>
  <sheetFormatPr defaultColWidth="9.140625" defaultRowHeight="15" customHeight="1"/>
  <cols>
    <col min="1" max="1" width="40.7109375" style="1" bestFit="1" customWidth="1"/>
    <col min="2" max="2" width="19.28515625" style="44" bestFit="1" customWidth="1"/>
    <col min="3" max="3" width="6.7109375" style="1" bestFit="1" customWidth="1"/>
    <col min="4" max="4" width="6.42578125" style="1" bestFit="1" customWidth="1"/>
    <col min="5" max="5" width="6.7109375" style="45" bestFit="1" customWidth="1"/>
    <col min="6" max="6" width="15.28515625" style="46" bestFit="1" customWidth="1"/>
    <col min="7" max="7" width="15.140625" style="47" bestFit="1" customWidth="1"/>
    <col min="8" max="8" width="5.42578125" style="45" bestFit="1" customWidth="1"/>
    <col min="9" max="9" width="10.28515625" style="48" bestFit="1" customWidth="1"/>
    <col min="10" max="10" width="15.42578125" style="48" bestFit="1" customWidth="1"/>
    <col min="11" max="11" width="7.7109375" style="45" bestFit="1" customWidth="1"/>
    <col min="12" max="12" width="14.7109375" style="49" bestFit="1" customWidth="1"/>
    <col min="13" max="13" width="16.28515625" style="1" bestFit="1" customWidth="1"/>
    <col min="14" max="16384" width="9.140625" style="1"/>
  </cols>
  <sheetData>
    <row r="1" spans="1:13" ht="15" customHeight="1">
      <c r="A1" s="136" t="s">
        <v>265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</row>
    <row r="2" spans="1:13" s="11" customFormat="1" ht="15" customHeight="1">
      <c r="A2" s="2" t="s">
        <v>19</v>
      </c>
      <c r="B2" s="3" t="s">
        <v>2</v>
      </c>
      <c r="C2" s="4" t="s">
        <v>92</v>
      </c>
      <c r="D2" s="5" t="s">
        <v>93</v>
      </c>
      <c r="E2" s="2" t="s">
        <v>91</v>
      </c>
      <c r="F2" s="6" t="s">
        <v>9</v>
      </c>
      <c r="G2" s="6" t="s">
        <v>0</v>
      </c>
      <c r="H2" s="7" t="s">
        <v>15</v>
      </c>
      <c r="I2" s="8" t="s">
        <v>37</v>
      </c>
      <c r="J2" s="6" t="s">
        <v>270</v>
      </c>
      <c r="K2" s="9" t="s">
        <v>269</v>
      </c>
      <c r="L2" s="6" t="s">
        <v>271</v>
      </c>
      <c r="M2" s="6" t="s">
        <v>225</v>
      </c>
    </row>
    <row r="3" spans="1:13" ht="15" customHeight="1">
      <c r="A3" s="37" t="s">
        <v>311</v>
      </c>
      <c r="B3" s="35">
        <v>44260</v>
      </c>
      <c r="C3" s="36">
        <v>0.94</v>
      </c>
      <c r="D3" s="37">
        <v>77</v>
      </c>
      <c r="E3" s="43"/>
      <c r="F3" s="39"/>
      <c r="G3" s="39"/>
      <c r="H3" s="38"/>
      <c r="I3" s="40" t="e">
        <f t="shared" ref="I3:I22" si="0">G3/J3</f>
        <v>#DIV/0!</v>
      </c>
      <c r="J3" s="39"/>
      <c r="K3" s="41" t="e">
        <f t="shared" ref="K3:K22" si="1">J3/G3</f>
        <v>#DIV/0!</v>
      </c>
      <c r="L3" s="39"/>
      <c r="M3" s="39">
        <f t="shared" ref="M3:M22" si="2">J3+L3</f>
        <v>0</v>
      </c>
    </row>
    <row r="4" spans="1:13" ht="15" customHeight="1">
      <c r="A4" s="15" t="s">
        <v>468</v>
      </c>
      <c r="B4" s="13">
        <v>44386</v>
      </c>
      <c r="C4" s="14"/>
      <c r="D4" s="15"/>
      <c r="E4" s="24"/>
      <c r="F4" s="17"/>
      <c r="G4" s="17"/>
      <c r="H4" s="23"/>
      <c r="I4" s="20" t="e">
        <f t="shared" si="0"/>
        <v>#DIV/0!</v>
      </c>
      <c r="J4" s="17"/>
      <c r="K4" s="21" t="e">
        <f t="shared" si="1"/>
        <v>#DIV/0!</v>
      </c>
      <c r="L4" s="17"/>
      <c r="M4" s="17">
        <f t="shared" si="2"/>
        <v>0</v>
      </c>
    </row>
    <row r="5" spans="1:13" ht="15" customHeight="1">
      <c r="A5" s="15" t="s">
        <v>260</v>
      </c>
      <c r="B5" s="13">
        <v>44344</v>
      </c>
      <c r="C5" s="14"/>
      <c r="D5" s="24"/>
      <c r="E5" s="24"/>
      <c r="F5" s="17"/>
      <c r="G5" s="17"/>
      <c r="H5" s="23"/>
      <c r="I5" s="20" t="e">
        <f t="shared" si="0"/>
        <v>#DIV/0!</v>
      </c>
      <c r="J5" s="17"/>
      <c r="K5" s="21" t="e">
        <f t="shared" si="1"/>
        <v>#DIV/0!</v>
      </c>
      <c r="L5" s="17"/>
      <c r="M5" s="17">
        <f t="shared" si="2"/>
        <v>0</v>
      </c>
    </row>
    <row r="6" spans="1:13" ht="15" customHeight="1">
      <c r="A6" s="15" t="s">
        <v>470</v>
      </c>
      <c r="B6" s="13">
        <v>44365</v>
      </c>
      <c r="C6" s="14"/>
      <c r="D6" s="15"/>
      <c r="E6" s="24"/>
      <c r="F6" s="17"/>
      <c r="G6" s="17"/>
      <c r="H6" s="23"/>
      <c r="I6" s="20" t="e">
        <f t="shared" si="0"/>
        <v>#DIV/0!</v>
      </c>
      <c r="J6" s="17"/>
      <c r="K6" s="21" t="e">
        <f t="shared" si="1"/>
        <v>#DIV/0!</v>
      </c>
      <c r="L6" s="17"/>
      <c r="M6" s="17">
        <f t="shared" si="2"/>
        <v>0</v>
      </c>
    </row>
    <row r="7" spans="1:13" ht="15" customHeight="1">
      <c r="A7" s="15" t="s">
        <v>306</v>
      </c>
      <c r="B7" s="13">
        <v>44442</v>
      </c>
      <c r="C7" s="14"/>
      <c r="D7" s="24"/>
      <c r="E7" s="24"/>
      <c r="F7" s="17"/>
      <c r="G7" s="17"/>
      <c r="H7" s="23"/>
      <c r="I7" s="20" t="e">
        <f t="shared" si="0"/>
        <v>#DIV/0!</v>
      </c>
      <c r="J7" s="17"/>
      <c r="K7" s="21" t="e">
        <f t="shared" si="1"/>
        <v>#DIV/0!</v>
      </c>
      <c r="L7" s="17"/>
      <c r="M7" s="17">
        <f t="shared" si="2"/>
        <v>0</v>
      </c>
    </row>
    <row r="8" spans="1:13" ht="15" customHeight="1">
      <c r="A8" s="15" t="s">
        <v>206</v>
      </c>
      <c r="B8" s="13">
        <v>44407</v>
      </c>
      <c r="C8" s="14"/>
      <c r="D8" s="15"/>
      <c r="E8" s="24"/>
      <c r="F8" s="17"/>
      <c r="G8" s="17"/>
      <c r="H8" s="23"/>
      <c r="I8" s="20" t="e">
        <f t="shared" si="0"/>
        <v>#DIV/0!</v>
      </c>
      <c r="J8" s="17"/>
      <c r="K8" s="21" t="e">
        <f t="shared" si="1"/>
        <v>#DIV/0!</v>
      </c>
      <c r="L8" s="17"/>
      <c r="M8" s="17">
        <f t="shared" si="2"/>
        <v>0</v>
      </c>
    </row>
    <row r="9" spans="1:13" ht="15" customHeight="1">
      <c r="A9" s="15" t="s">
        <v>469</v>
      </c>
      <c r="B9" s="13">
        <v>44505</v>
      </c>
      <c r="C9" s="14"/>
      <c r="D9" s="15"/>
      <c r="E9" s="24"/>
      <c r="F9" s="17"/>
      <c r="G9" s="17"/>
      <c r="H9" s="23"/>
      <c r="I9" s="20" t="e">
        <f t="shared" si="0"/>
        <v>#DIV/0!</v>
      </c>
      <c r="J9" s="17"/>
      <c r="K9" s="21" t="e">
        <f t="shared" si="1"/>
        <v>#DIV/0!</v>
      </c>
      <c r="L9" s="17"/>
      <c r="M9" s="17">
        <f t="shared" si="2"/>
        <v>0</v>
      </c>
    </row>
    <row r="10" spans="1:13" ht="15" customHeight="1" thickBot="1">
      <c r="A10" s="29" t="s">
        <v>471</v>
      </c>
      <c r="B10" s="27">
        <v>44524</v>
      </c>
      <c r="C10" s="28"/>
      <c r="D10" s="42"/>
      <c r="E10" s="42"/>
      <c r="F10" s="31"/>
      <c r="G10" s="31"/>
      <c r="H10" s="30"/>
      <c r="I10" s="32" t="e">
        <f t="shared" si="0"/>
        <v>#DIV/0!</v>
      </c>
      <c r="J10" s="31"/>
      <c r="K10" s="33" t="e">
        <f t="shared" si="1"/>
        <v>#DIV/0!</v>
      </c>
      <c r="L10" s="31"/>
      <c r="M10" s="31">
        <f t="shared" si="2"/>
        <v>0</v>
      </c>
    </row>
    <row r="11" spans="1:13" ht="15" customHeight="1" thickTop="1">
      <c r="A11" s="15" t="s">
        <v>492</v>
      </c>
      <c r="B11" s="13">
        <v>44631</v>
      </c>
      <c r="C11" s="14"/>
      <c r="D11" s="24"/>
      <c r="E11" s="24"/>
      <c r="F11" s="17"/>
      <c r="G11" s="17"/>
      <c r="H11" s="23"/>
      <c r="I11" s="20" t="e">
        <f t="shared" si="0"/>
        <v>#DIV/0!</v>
      </c>
      <c r="J11" s="17"/>
      <c r="K11" s="21" t="e">
        <f t="shared" si="1"/>
        <v>#DIV/0!</v>
      </c>
      <c r="L11" s="17"/>
      <c r="M11" s="17">
        <f t="shared" si="2"/>
        <v>0</v>
      </c>
    </row>
    <row r="12" spans="1:13" ht="15" customHeight="1">
      <c r="A12" s="15" t="s">
        <v>307</v>
      </c>
      <c r="B12" s="13">
        <v>44645</v>
      </c>
      <c r="C12" s="14"/>
      <c r="D12" s="24"/>
      <c r="E12" s="24"/>
      <c r="F12" s="17"/>
      <c r="G12" s="17"/>
      <c r="H12" s="23"/>
      <c r="I12" s="20" t="e">
        <f t="shared" si="0"/>
        <v>#DIV/0!</v>
      </c>
      <c r="J12" s="17"/>
      <c r="K12" s="21" t="e">
        <f t="shared" si="1"/>
        <v>#DIV/0!</v>
      </c>
      <c r="L12" s="17"/>
      <c r="M12" s="17">
        <f t="shared" si="2"/>
        <v>0</v>
      </c>
    </row>
    <row r="13" spans="1:13" ht="15" customHeight="1">
      <c r="A13" s="37" t="s">
        <v>308</v>
      </c>
      <c r="B13" s="13">
        <v>44687</v>
      </c>
      <c r="C13" s="14"/>
      <c r="D13" s="24"/>
      <c r="E13" s="24"/>
      <c r="F13" s="17"/>
      <c r="G13" s="17"/>
      <c r="H13" s="23"/>
      <c r="I13" s="20" t="e">
        <f t="shared" si="0"/>
        <v>#DIV/0!</v>
      </c>
      <c r="J13" s="17"/>
      <c r="K13" s="21" t="e">
        <f t="shared" si="1"/>
        <v>#DIV/0!</v>
      </c>
      <c r="L13" s="17"/>
      <c r="M13" s="17">
        <f t="shared" si="2"/>
        <v>0</v>
      </c>
    </row>
    <row r="14" spans="1:13" ht="15" customHeight="1">
      <c r="A14" s="87" t="s">
        <v>263</v>
      </c>
      <c r="B14" s="13">
        <v>44708</v>
      </c>
      <c r="C14" s="14"/>
      <c r="D14" s="24"/>
      <c r="E14" s="24"/>
      <c r="F14" s="17"/>
      <c r="G14" s="17"/>
      <c r="H14" s="23"/>
      <c r="I14" s="20" t="e">
        <f t="shared" si="0"/>
        <v>#DIV/0!</v>
      </c>
      <c r="J14" s="17"/>
      <c r="K14" s="21" t="e">
        <f t="shared" si="1"/>
        <v>#DIV/0!</v>
      </c>
      <c r="L14" s="17"/>
      <c r="M14" s="17">
        <f t="shared" si="2"/>
        <v>0</v>
      </c>
    </row>
    <row r="15" spans="1:13" ht="15" customHeight="1">
      <c r="A15" s="15" t="s">
        <v>493</v>
      </c>
      <c r="B15" s="13">
        <v>44729</v>
      </c>
      <c r="C15" s="14"/>
      <c r="D15" s="24"/>
      <c r="E15" s="24"/>
      <c r="F15" s="17"/>
      <c r="G15" s="17"/>
      <c r="H15" s="23"/>
      <c r="I15" s="20" t="e">
        <f t="shared" si="0"/>
        <v>#DIV/0!</v>
      </c>
      <c r="J15" s="17"/>
      <c r="K15" s="21" t="e">
        <f t="shared" si="1"/>
        <v>#DIV/0!</v>
      </c>
      <c r="L15" s="17"/>
      <c r="M15" s="17">
        <f t="shared" si="2"/>
        <v>0</v>
      </c>
    </row>
    <row r="16" spans="1:13" ht="15" customHeight="1">
      <c r="A16" s="15" t="s">
        <v>507</v>
      </c>
      <c r="B16" s="13">
        <v>44750</v>
      </c>
      <c r="C16" s="14"/>
      <c r="D16" s="24"/>
      <c r="E16" s="24"/>
      <c r="F16" s="17"/>
      <c r="G16" s="17"/>
      <c r="H16" s="23"/>
      <c r="I16" s="20" t="e">
        <f t="shared" si="0"/>
        <v>#DIV/0!</v>
      </c>
      <c r="J16" s="17"/>
      <c r="K16" s="21" t="e">
        <f t="shared" si="1"/>
        <v>#DIV/0!</v>
      </c>
      <c r="L16" s="17"/>
      <c r="M16" s="17">
        <f t="shared" si="2"/>
        <v>0</v>
      </c>
    </row>
    <row r="17" spans="1:13" ht="15" customHeight="1">
      <c r="A17" s="87" t="s">
        <v>274</v>
      </c>
      <c r="B17" s="13">
        <v>44771</v>
      </c>
      <c r="C17" s="14"/>
      <c r="D17" s="24"/>
      <c r="E17" s="24"/>
      <c r="F17" s="17"/>
      <c r="G17" s="17"/>
      <c r="H17" s="23"/>
      <c r="I17" s="20" t="e">
        <f t="shared" si="0"/>
        <v>#DIV/0!</v>
      </c>
      <c r="J17" s="17"/>
      <c r="K17" s="21" t="e">
        <f t="shared" si="1"/>
        <v>#DIV/0!</v>
      </c>
      <c r="L17" s="17"/>
      <c r="M17" s="17">
        <f t="shared" si="2"/>
        <v>0</v>
      </c>
    </row>
    <row r="18" spans="1:13" ht="15" customHeight="1">
      <c r="A18" s="87" t="s">
        <v>263</v>
      </c>
      <c r="B18" s="13">
        <v>44785</v>
      </c>
      <c r="C18" s="14"/>
      <c r="D18" s="24"/>
      <c r="E18" s="24"/>
      <c r="F18" s="17"/>
      <c r="G18" s="17"/>
      <c r="H18" s="23"/>
      <c r="I18" s="20" t="e">
        <f t="shared" si="0"/>
        <v>#DIV/0!</v>
      </c>
      <c r="J18" s="17"/>
      <c r="K18" s="21" t="e">
        <f t="shared" si="1"/>
        <v>#DIV/0!</v>
      </c>
      <c r="L18" s="17"/>
      <c r="M18" s="17">
        <f t="shared" si="2"/>
        <v>0</v>
      </c>
    </row>
    <row r="19" spans="1:13" ht="15" customHeight="1">
      <c r="A19" s="87" t="s">
        <v>255</v>
      </c>
      <c r="B19" s="13">
        <v>44841</v>
      </c>
      <c r="C19" s="14"/>
      <c r="D19" s="24"/>
      <c r="E19" s="24"/>
      <c r="F19" s="17"/>
      <c r="G19" s="17"/>
      <c r="H19" s="23"/>
      <c r="I19" s="20" t="e">
        <f t="shared" si="0"/>
        <v>#DIV/0!</v>
      </c>
      <c r="J19" s="17"/>
      <c r="K19" s="21" t="e">
        <f t="shared" si="1"/>
        <v>#DIV/0!</v>
      </c>
      <c r="L19" s="17"/>
      <c r="M19" s="17">
        <f t="shared" si="2"/>
        <v>0</v>
      </c>
    </row>
    <row r="20" spans="1:13" ht="15" customHeight="1">
      <c r="A20" s="15" t="s">
        <v>508</v>
      </c>
      <c r="B20" s="13">
        <v>44876</v>
      </c>
      <c r="C20" s="14"/>
      <c r="D20" s="24"/>
      <c r="E20" s="24"/>
      <c r="F20" s="17"/>
      <c r="G20" s="17"/>
      <c r="H20" s="23"/>
      <c r="I20" s="20" t="e">
        <f t="shared" si="0"/>
        <v>#DIV/0!</v>
      </c>
      <c r="J20" s="17"/>
      <c r="K20" s="21" t="e">
        <f t="shared" si="1"/>
        <v>#DIV/0!</v>
      </c>
      <c r="L20" s="17"/>
      <c r="M20" s="17">
        <f t="shared" si="2"/>
        <v>0</v>
      </c>
    </row>
    <row r="21" spans="1:13" ht="15" customHeight="1">
      <c r="A21" s="87" t="s">
        <v>259</v>
      </c>
      <c r="B21" s="13">
        <v>44888</v>
      </c>
      <c r="C21" s="14"/>
      <c r="D21" s="24"/>
      <c r="E21" s="24"/>
      <c r="F21" s="17"/>
      <c r="G21" s="17"/>
      <c r="H21" s="23"/>
      <c r="I21" s="20" t="e">
        <f t="shared" si="0"/>
        <v>#DIV/0!</v>
      </c>
      <c r="J21" s="17"/>
      <c r="K21" s="21" t="e">
        <f t="shared" si="1"/>
        <v>#DIV/0!</v>
      </c>
      <c r="L21" s="17"/>
      <c r="M21" s="17">
        <f t="shared" si="2"/>
        <v>0</v>
      </c>
    </row>
    <row r="22" spans="1:13" ht="15" customHeight="1" thickBot="1">
      <c r="A22" s="86" t="s">
        <v>275</v>
      </c>
      <c r="B22" s="27">
        <v>44911</v>
      </c>
      <c r="C22" s="28"/>
      <c r="D22" s="42"/>
      <c r="E22" s="42"/>
      <c r="F22" s="31"/>
      <c r="G22" s="31"/>
      <c r="H22" s="30"/>
      <c r="I22" s="32" t="e">
        <f t="shared" si="0"/>
        <v>#DIV/0!</v>
      </c>
      <c r="J22" s="31"/>
      <c r="K22" s="33" t="e">
        <f t="shared" si="1"/>
        <v>#DIV/0!</v>
      </c>
      <c r="L22" s="31"/>
      <c r="M22" s="31">
        <f t="shared" si="2"/>
        <v>0</v>
      </c>
    </row>
    <row r="23" spans="1:13" ht="15" customHeight="1" thickTop="1">
      <c r="A23" s="15" t="s">
        <v>509</v>
      </c>
      <c r="B23" s="13">
        <v>44974</v>
      </c>
      <c r="C23" s="14"/>
      <c r="D23" s="24"/>
      <c r="E23" s="24"/>
      <c r="F23" s="17"/>
      <c r="G23" s="17"/>
      <c r="H23" s="23"/>
      <c r="I23" s="20" t="e">
        <f t="shared" ref="I23:I34" si="3">G23/J23</f>
        <v>#DIV/0!</v>
      </c>
      <c r="J23" s="17"/>
      <c r="K23" s="21" t="e">
        <f t="shared" ref="K23:K34" si="4">J23/G23</f>
        <v>#DIV/0!</v>
      </c>
      <c r="L23" s="17"/>
      <c r="M23" s="17">
        <f t="shared" ref="M23:M34" si="5">J23+L23</f>
        <v>0</v>
      </c>
    </row>
    <row r="24" spans="1:13" ht="15" customHeight="1">
      <c r="A24" s="15" t="s">
        <v>510</v>
      </c>
      <c r="B24" s="13">
        <v>45051</v>
      </c>
      <c r="C24" s="14"/>
      <c r="D24" s="24"/>
      <c r="E24" s="24"/>
      <c r="F24" s="17"/>
      <c r="G24" s="17"/>
      <c r="H24" s="23"/>
      <c r="I24" s="20" t="e">
        <f t="shared" si="3"/>
        <v>#DIV/0!</v>
      </c>
      <c r="J24" s="17"/>
      <c r="K24" s="21" t="e">
        <f t="shared" si="4"/>
        <v>#DIV/0!</v>
      </c>
      <c r="L24" s="17"/>
      <c r="M24" s="17">
        <f t="shared" si="5"/>
        <v>0</v>
      </c>
    </row>
    <row r="25" spans="1:13" ht="15" customHeight="1">
      <c r="A25" s="37"/>
      <c r="B25" s="13"/>
      <c r="C25" s="14"/>
      <c r="D25" s="24"/>
      <c r="E25" s="24"/>
      <c r="F25" s="17"/>
      <c r="G25" s="17"/>
      <c r="H25" s="23"/>
      <c r="I25" s="20" t="e">
        <f t="shared" si="3"/>
        <v>#DIV/0!</v>
      </c>
      <c r="J25" s="17"/>
      <c r="K25" s="21" t="e">
        <f t="shared" si="4"/>
        <v>#DIV/0!</v>
      </c>
      <c r="L25" s="17"/>
      <c r="M25" s="17">
        <f t="shared" si="5"/>
        <v>0</v>
      </c>
    </row>
    <row r="26" spans="1:13" ht="15" customHeight="1">
      <c r="A26" s="87"/>
      <c r="B26" s="13"/>
      <c r="C26" s="14"/>
      <c r="D26" s="24"/>
      <c r="E26" s="24"/>
      <c r="F26" s="17"/>
      <c r="G26" s="17"/>
      <c r="H26" s="23"/>
      <c r="I26" s="20" t="e">
        <f t="shared" si="3"/>
        <v>#DIV/0!</v>
      </c>
      <c r="J26" s="17"/>
      <c r="K26" s="21" t="e">
        <f t="shared" si="4"/>
        <v>#DIV/0!</v>
      </c>
      <c r="L26" s="17"/>
      <c r="M26" s="17">
        <f t="shared" si="5"/>
        <v>0</v>
      </c>
    </row>
    <row r="27" spans="1:13" ht="15" customHeight="1">
      <c r="A27" s="15"/>
      <c r="B27" s="13"/>
      <c r="C27" s="14"/>
      <c r="D27" s="24"/>
      <c r="E27" s="24"/>
      <c r="F27" s="17"/>
      <c r="G27" s="17"/>
      <c r="H27" s="23"/>
      <c r="I27" s="20" t="e">
        <f t="shared" si="3"/>
        <v>#DIV/0!</v>
      </c>
      <c r="J27" s="17"/>
      <c r="K27" s="21" t="e">
        <f t="shared" si="4"/>
        <v>#DIV/0!</v>
      </c>
      <c r="L27" s="17"/>
      <c r="M27" s="17">
        <f t="shared" si="5"/>
        <v>0</v>
      </c>
    </row>
    <row r="28" spans="1:13" ht="15" customHeight="1">
      <c r="A28" s="15"/>
      <c r="B28" s="13"/>
      <c r="C28" s="14"/>
      <c r="D28" s="24"/>
      <c r="E28" s="24"/>
      <c r="F28" s="17"/>
      <c r="G28" s="17"/>
      <c r="H28" s="23"/>
      <c r="I28" s="20" t="e">
        <f t="shared" si="3"/>
        <v>#DIV/0!</v>
      </c>
      <c r="J28" s="17"/>
      <c r="K28" s="21" t="e">
        <f t="shared" si="4"/>
        <v>#DIV/0!</v>
      </c>
      <c r="L28" s="17"/>
      <c r="M28" s="17">
        <f t="shared" si="5"/>
        <v>0</v>
      </c>
    </row>
    <row r="29" spans="1:13" ht="15" customHeight="1">
      <c r="A29" s="87"/>
      <c r="B29" s="13"/>
      <c r="C29" s="14"/>
      <c r="D29" s="24"/>
      <c r="E29" s="24"/>
      <c r="F29" s="17"/>
      <c r="G29" s="17"/>
      <c r="H29" s="23"/>
      <c r="I29" s="20" t="e">
        <f t="shared" si="3"/>
        <v>#DIV/0!</v>
      </c>
      <c r="J29" s="17"/>
      <c r="K29" s="21" t="e">
        <f t="shared" si="4"/>
        <v>#DIV/0!</v>
      </c>
      <c r="L29" s="17"/>
      <c r="M29" s="17">
        <f t="shared" si="5"/>
        <v>0</v>
      </c>
    </row>
    <row r="30" spans="1:13" ht="15" customHeight="1">
      <c r="A30" s="87"/>
      <c r="B30" s="13"/>
      <c r="C30" s="14"/>
      <c r="D30" s="24"/>
      <c r="E30" s="24"/>
      <c r="F30" s="17"/>
      <c r="G30" s="17"/>
      <c r="H30" s="23"/>
      <c r="I30" s="20" t="e">
        <f t="shared" si="3"/>
        <v>#DIV/0!</v>
      </c>
      <c r="J30" s="17"/>
      <c r="K30" s="21" t="e">
        <f t="shared" si="4"/>
        <v>#DIV/0!</v>
      </c>
      <c r="L30" s="17"/>
      <c r="M30" s="17">
        <f t="shared" si="5"/>
        <v>0</v>
      </c>
    </row>
    <row r="31" spans="1:13" ht="15" customHeight="1">
      <c r="A31" s="87"/>
      <c r="B31" s="13"/>
      <c r="C31" s="14"/>
      <c r="D31" s="24"/>
      <c r="E31" s="24"/>
      <c r="F31" s="17"/>
      <c r="G31" s="17"/>
      <c r="H31" s="23"/>
      <c r="I31" s="20" t="e">
        <f t="shared" si="3"/>
        <v>#DIV/0!</v>
      </c>
      <c r="J31" s="17"/>
      <c r="K31" s="21" t="e">
        <f t="shared" si="4"/>
        <v>#DIV/0!</v>
      </c>
      <c r="L31" s="17"/>
      <c r="M31" s="17">
        <f t="shared" si="5"/>
        <v>0</v>
      </c>
    </row>
    <row r="32" spans="1:13" ht="15" customHeight="1">
      <c r="A32" s="15"/>
      <c r="B32" s="13"/>
      <c r="C32" s="14"/>
      <c r="D32" s="24"/>
      <c r="E32" s="24"/>
      <c r="F32" s="17"/>
      <c r="G32" s="17"/>
      <c r="H32" s="23"/>
      <c r="I32" s="20" t="e">
        <f t="shared" si="3"/>
        <v>#DIV/0!</v>
      </c>
      <c r="J32" s="17"/>
      <c r="K32" s="21" t="e">
        <f t="shared" si="4"/>
        <v>#DIV/0!</v>
      </c>
      <c r="L32" s="17"/>
      <c r="M32" s="17">
        <f t="shared" si="5"/>
        <v>0</v>
      </c>
    </row>
    <row r="33" spans="1:13" ht="15" customHeight="1">
      <c r="A33" s="87"/>
      <c r="B33" s="13"/>
      <c r="C33" s="14"/>
      <c r="D33" s="24"/>
      <c r="E33" s="24"/>
      <c r="F33" s="17"/>
      <c r="G33" s="17"/>
      <c r="H33" s="23"/>
      <c r="I33" s="20" t="e">
        <f t="shared" si="3"/>
        <v>#DIV/0!</v>
      </c>
      <c r="J33" s="17"/>
      <c r="K33" s="21" t="e">
        <f t="shared" si="4"/>
        <v>#DIV/0!</v>
      </c>
      <c r="L33" s="17"/>
      <c r="M33" s="17">
        <f t="shared" si="5"/>
        <v>0</v>
      </c>
    </row>
    <row r="34" spans="1:13" ht="15" customHeight="1" thickBot="1">
      <c r="A34" s="86"/>
      <c r="B34" s="27"/>
      <c r="C34" s="28"/>
      <c r="D34" s="42"/>
      <c r="E34" s="42"/>
      <c r="F34" s="31"/>
      <c r="G34" s="31"/>
      <c r="H34" s="30"/>
      <c r="I34" s="32" t="e">
        <f t="shared" si="3"/>
        <v>#DIV/0!</v>
      </c>
      <c r="J34" s="31"/>
      <c r="K34" s="33" t="e">
        <f t="shared" si="4"/>
        <v>#DIV/0!</v>
      </c>
      <c r="L34" s="31"/>
      <c r="M34" s="31">
        <f t="shared" si="5"/>
        <v>0</v>
      </c>
    </row>
    <row r="35" spans="1:13" ht="15" customHeight="1" thickTop="1">
      <c r="B35" s="1"/>
      <c r="E35" s="1"/>
      <c r="F35" s="1"/>
      <c r="G35" s="1"/>
      <c r="H35" s="1"/>
      <c r="I35" s="1"/>
      <c r="J35" s="1"/>
      <c r="K35" s="1"/>
      <c r="L35" s="1"/>
    </row>
    <row r="36" spans="1:13" ht="15" customHeight="1">
      <c r="B36" s="1"/>
      <c r="E36" s="1"/>
      <c r="F36" s="1"/>
      <c r="G36" s="1"/>
      <c r="H36" s="1"/>
      <c r="I36" s="1"/>
      <c r="J36" s="1"/>
      <c r="K36" s="1"/>
      <c r="L36" s="1"/>
    </row>
    <row r="37" spans="1:13" ht="15" customHeight="1">
      <c r="B37" s="1"/>
      <c r="E37" s="1"/>
      <c r="F37" s="1"/>
      <c r="G37" s="1"/>
      <c r="H37" s="1"/>
      <c r="I37" s="1"/>
      <c r="J37" s="1"/>
      <c r="K37" s="1"/>
      <c r="L37" s="1"/>
    </row>
    <row r="38" spans="1:13" ht="15" customHeight="1">
      <c r="B38" s="1"/>
      <c r="E38" s="1"/>
      <c r="F38" s="1"/>
      <c r="G38" s="1"/>
      <c r="H38" s="1"/>
      <c r="I38" s="1"/>
      <c r="J38" s="1"/>
      <c r="K38" s="1"/>
      <c r="L38" s="1"/>
    </row>
    <row r="39" spans="1:13" ht="15" customHeight="1">
      <c r="B39" s="1"/>
      <c r="E39" s="1"/>
      <c r="F39" s="1"/>
      <c r="G39" s="1"/>
      <c r="H39" s="1"/>
      <c r="I39" s="1"/>
      <c r="J39" s="1"/>
      <c r="K39" s="1"/>
      <c r="L39" s="1"/>
    </row>
    <row r="40" spans="1:13" ht="15" customHeight="1">
      <c r="B40" s="1"/>
      <c r="E40" s="1"/>
      <c r="F40" s="1"/>
      <c r="G40" s="1"/>
      <c r="H40" s="1"/>
      <c r="I40" s="1"/>
      <c r="J40" s="1"/>
      <c r="K40" s="1"/>
      <c r="L40" s="1"/>
    </row>
    <row r="41" spans="1:13" ht="15" customHeight="1">
      <c r="B41" s="1"/>
      <c r="E41" s="1"/>
      <c r="F41" s="1"/>
      <c r="G41" s="1"/>
      <c r="H41" s="1"/>
      <c r="I41" s="1"/>
      <c r="J41" s="1"/>
      <c r="K41" s="1"/>
      <c r="L41" s="1"/>
    </row>
    <row r="42" spans="1:13" ht="15" customHeight="1">
      <c r="B42" s="1"/>
      <c r="E42" s="1"/>
      <c r="F42" s="1"/>
      <c r="G42" s="1"/>
      <c r="H42" s="1"/>
      <c r="I42" s="1"/>
      <c r="J42" s="1"/>
      <c r="K42" s="1"/>
      <c r="L42" s="1"/>
    </row>
    <row r="43" spans="1:13" ht="15" customHeight="1">
      <c r="B43" s="1"/>
      <c r="E43" s="1"/>
      <c r="F43" s="1"/>
      <c r="G43" s="1"/>
      <c r="H43" s="1"/>
      <c r="I43" s="1"/>
      <c r="J43" s="1"/>
      <c r="K43" s="1"/>
      <c r="L43" s="1"/>
    </row>
    <row r="44" spans="1:13" ht="15" customHeight="1">
      <c r="B44" s="1"/>
      <c r="E44" s="1"/>
      <c r="F44" s="1"/>
      <c r="G44" s="1"/>
      <c r="H44" s="1"/>
      <c r="I44" s="1"/>
      <c r="J44" s="1"/>
      <c r="K44" s="1"/>
      <c r="L44" s="1"/>
    </row>
    <row r="45" spans="1:13" ht="15" customHeight="1">
      <c r="B45" s="1"/>
      <c r="E45" s="1"/>
      <c r="F45" s="1"/>
      <c r="G45" s="1"/>
      <c r="H45" s="1"/>
      <c r="I45" s="1"/>
      <c r="J45" s="1"/>
      <c r="K45" s="1"/>
      <c r="L45" s="1"/>
    </row>
    <row r="46" spans="1:13" ht="15" customHeight="1">
      <c r="B46" s="1"/>
      <c r="E46" s="1"/>
      <c r="F46" s="1"/>
      <c r="G46" s="1"/>
      <c r="H46" s="1"/>
      <c r="I46" s="1"/>
      <c r="J46" s="1"/>
      <c r="K46" s="1"/>
      <c r="L46" s="1"/>
    </row>
    <row r="47" spans="1:13" ht="15" customHeight="1">
      <c r="B47" s="1"/>
      <c r="E47" s="1"/>
      <c r="F47" s="1"/>
      <c r="G47" s="1"/>
      <c r="H47" s="1"/>
      <c r="I47" s="1"/>
      <c r="J47" s="1"/>
      <c r="K47" s="1"/>
      <c r="L47" s="1"/>
    </row>
    <row r="48" spans="1:13" ht="15" customHeight="1">
      <c r="B48" s="1"/>
      <c r="E48" s="1"/>
      <c r="F48" s="1"/>
      <c r="G48" s="1"/>
      <c r="H48" s="1"/>
      <c r="I48" s="1"/>
      <c r="J48" s="1"/>
      <c r="K48" s="1"/>
      <c r="L48" s="1"/>
    </row>
    <row r="49" s="1" customFormat="1" ht="15" customHeight="1"/>
    <row r="50" s="1" customFormat="1" ht="15" customHeight="1"/>
    <row r="51" s="1" customFormat="1" ht="15" customHeight="1"/>
    <row r="52" s="1" customFormat="1" ht="15" customHeight="1"/>
    <row r="53" s="1" customFormat="1" ht="15" customHeight="1"/>
    <row r="54" s="1" customFormat="1" ht="15" customHeight="1"/>
    <row r="55" s="1" customFormat="1" ht="15" customHeight="1"/>
    <row r="56" s="1" customFormat="1" ht="15" customHeight="1"/>
    <row r="57" s="1" customFormat="1" ht="15" customHeight="1"/>
    <row r="58" s="1" customFormat="1" ht="15" customHeight="1"/>
    <row r="59" s="1" customFormat="1" ht="15" customHeight="1"/>
    <row r="60" s="1" customFormat="1" ht="15" customHeight="1"/>
    <row r="61" s="1" customFormat="1" ht="15" customHeight="1"/>
    <row r="62" s="1" customFormat="1" ht="15" customHeight="1"/>
    <row r="63" s="1" customFormat="1" ht="15" customHeight="1"/>
    <row r="64" s="1" customFormat="1" ht="15" customHeight="1"/>
    <row r="65" s="1" customFormat="1" ht="15" customHeight="1"/>
    <row r="66" s="1" customFormat="1" ht="15" customHeight="1"/>
    <row r="67" s="1" customFormat="1" ht="15" customHeight="1"/>
    <row r="68" s="1" customFormat="1" ht="15" customHeight="1"/>
  </sheetData>
  <sortState xmlns:xlrd2="http://schemas.microsoft.com/office/spreadsheetml/2017/richdata2" ref="A3:M22">
    <sortCondition ref="B3"/>
  </sortState>
  <mergeCells count="1">
    <mergeCell ref="A1:L1"/>
  </mergeCells>
  <conditionalFormatting sqref="C3:D8 E3:E22">
    <cfRule type="cellIs" dxfId="384" priority="42" operator="between">
      <formula>0.005</formula>
      <formula>0.394999999999999</formula>
    </cfRule>
  </conditionalFormatting>
  <conditionalFormatting sqref="C3:D8 E3:E22">
    <cfRule type="cellIs" dxfId="383" priority="39" operator="between">
      <formula>0.745</formula>
      <formula>1</formula>
    </cfRule>
  </conditionalFormatting>
  <conditionalFormatting sqref="C3:D8 E3:E22">
    <cfRule type="cellIs" dxfId="382" priority="40" operator="between">
      <formula>0.595</formula>
      <formula>0.744999999999999</formula>
    </cfRule>
  </conditionalFormatting>
  <conditionalFormatting sqref="C3:D8 E3:E22">
    <cfRule type="cellIs" dxfId="381" priority="41" operator="between">
      <formula>0.395</formula>
      <formula>0.594999999999999</formula>
    </cfRule>
  </conditionalFormatting>
  <conditionalFormatting sqref="E3:E22">
    <cfRule type="cellIs" dxfId="380" priority="35" operator="between">
      <formula>39.5</formula>
      <formula>59.499999999</formula>
    </cfRule>
    <cfRule type="cellIs" dxfId="379" priority="36" operator="between">
      <formula>1</formula>
      <formula>39.49999999</formula>
    </cfRule>
    <cfRule type="cellIs" dxfId="378" priority="37" operator="between">
      <formula>59.5</formula>
      <formula>74.4999999</formula>
    </cfRule>
    <cfRule type="cellIs" dxfId="377" priority="38" operator="between">
      <formula>74.5</formula>
      <formula>100</formula>
    </cfRule>
  </conditionalFormatting>
  <conditionalFormatting sqref="D3:D8">
    <cfRule type="cellIs" dxfId="376" priority="27" operator="between">
      <formula>40</formula>
      <formula>59</formula>
    </cfRule>
    <cfRule type="cellIs" dxfId="375" priority="28" operator="between">
      <formula>1</formula>
      <formula>39</formula>
    </cfRule>
    <cfRule type="cellIs" dxfId="374" priority="29" operator="between">
      <formula>60</formula>
      <formula>70</formula>
    </cfRule>
    <cfRule type="cellIs" dxfId="373" priority="30" operator="between">
      <formula>71</formula>
      <formula>100</formula>
    </cfRule>
  </conditionalFormatting>
  <conditionalFormatting sqref="D2">
    <cfRule type="cellIs" dxfId="372" priority="23" operator="between">
      <formula>40</formula>
      <formula>59</formula>
    </cfRule>
    <cfRule type="cellIs" dxfId="371" priority="24" operator="between">
      <formula>1</formula>
      <formula>39</formula>
    </cfRule>
    <cfRule type="cellIs" dxfId="370" priority="25" operator="between">
      <formula>60</formula>
      <formula>70</formula>
    </cfRule>
    <cfRule type="cellIs" dxfId="369" priority="26" operator="between">
      <formula>71</formula>
      <formula>100</formula>
    </cfRule>
  </conditionalFormatting>
  <conditionalFormatting sqref="D9:D22">
    <cfRule type="cellIs" dxfId="368" priority="20" operator="between">
      <formula>40</formula>
      <formula>1</formula>
    </cfRule>
    <cfRule type="cellIs" dxfId="367" priority="21" operator="between">
      <formula>40</formula>
      <formula>59</formula>
    </cfRule>
    <cfRule type="cellIs" dxfId="366" priority="22" operator="greaterThan">
      <formula>59</formula>
    </cfRule>
  </conditionalFormatting>
  <conditionalFormatting sqref="C9:C22">
    <cfRule type="cellIs" dxfId="365" priority="16" operator="between">
      <formula>0.39</formula>
      <formula>0.01</formula>
    </cfRule>
    <cfRule type="cellIs" dxfId="364" priority="17" operator="between">
      <formula>0.4</formula>
      <formula>0.59</formula>
    </cfRule>
    <cfRule type="cellIs" dxfId="363" priority="18" operator="between">
      <formula>0.6</formula>
      <formula>0.74</formula>
    </cfRule>
    <cfRule type="cellIs" dxfId="362" priority="19" operator="greaterThan">
      <formula>0.74</formula>
    </cfRule>
  </conditionalFormatting>
  <conditionalFormatting sqref="E23:E34">
    <cfRule type="cellIs" dxfId="361" priority="15" operator="between">
      <formula>0.005</formula>
      <formula>0.394999999999999</formula>
    </cfRule>
  </conditionalFormatting>
  <conditionalFormatting sqref="E23:E34">
    <cfRule type="cellIs" dxfId="360" priority="12" operator="between">
      <formula>0.745</formula>
      <formula>1</formula>
    </cfRule>
  </conditionalFormatting>
  <conditionalFormatting sqref="E23:E34">
    <cfRule type="cellIs" dxfId="359" priority="13" operator="between">
      <formula>0.595</formula>
      <formula>0.744999999999999</formula>
    </cfRule>
  </conditionalFormatting>
  <conditionalFormatting sqref="E23:E34">
    <cfRule type="cellIs" dxfId="358" priority="14" operator="between">
      <formula>0.395</formula>
      <formula>0.594999999999999</formula>
    </cfRule>
  </conditionalFormatting>
  <conditionalFormatting sqref="E23:E34">
    <cfRule type="cellIs" dxfId="357" priority="8" operator="between">
      <formula>39.5</formula>
      <formula>59.499999999</formula>
    </cfRule>
    <cfRule type="cellIs" dxfId="356" priority="9" operator="between">
      <formula>1</formula>
      <formula>39.49999999</formula>
    </cfRule>
    <cfRule type="cellIs" dxfId="355" priority="10" operator="between">
      <formula>59.5</formula>
      <formula>74.4999999</formula>
    </cfRule>
    <cfRule type="cellIs" dxfId="354" priority="11" operator="between">
      <formula>74.5</formula>
      <formula>100</formula>
    </cfRule>
  </conditionalFormatting>
  <conditionalFormatting sqref="D23:D34">
    <cfRule type="cellIs" dxfId="353" priority="5" operator="between">
      <formula>40</formula>
      <formula>1</formula>
    </cfRule>
    <cfRule type="cellIs" dxfId="352" priority="6" operator="between">
      <formula>40</formula>
      <formula>59</formula>
    </cfRule>
    <cfRule type="cellIs" dxfId="351" priority="7" operator="greaterThan">
      <formula>59</formula>
    </cfRule>
  </conditionalFormatting>
  <conditionalFormatting sqref="C23:C34">
    <cfRule type="cellIs" dxfId="350" priority="1" operator="between">
      <formula>0.39</formula>
      <formula>0.01</formula>
    </cfRule>
    <cfRule type="cellIs" dxfId="349" priority="2" operator="between">
      <formula>0.4</formula>
      <formula>0.59</formula>
    </cfRule>
    <cfRule type="cellIs" dxfId="348" priority="3" operator="between">
      <formula>0.6</formula>
      <formula>0.74</formula>
    </cfRule>
    <cfRule type="cellIs" dxfId="347" priority="4" operator="greaterThan">
      <formula>0.74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7DEF0-0D4C-4857-B2AA-C892EB8F7528}">
  <sheetPr codeName="Sheet10"/>
  <dimension ref="A1:L63"/>
  <sheetViews>
    <sheetView zoomScale="89" zoomScaleNormal="89" workbookViewId="0">
      <selection activeCell="C23" sqref="C23"/>
    </sheetView>
  </sheetViews>
  <sheetFormatPr defaultColWidth="9.140625" defaultRowHeight="15" customHeight="1"/>
  <cols>
    <col min="1" max="1" width="56.28515625" style="1" bestFit="1" customWidth="1"/>
    <col min="2" max="2" width="20.42578125" style="44" bestFit="1" customWidth="1"/>
    <col min="3" max="3" width="6.85546875" style="1" bestFit="1" customWidth="1"/>
    <col min="4" max="4" width="6.28515625" style="1" bestFit="1" customWidth="1"/>
    <col min="5" max="5" width="6.85546875" style="45" bestFit="1" customWidth="1"/>
    <col min="6" max="6" width="6.28515625" style="46" bestFit="1" customWidth="1"/>
    <col min="7" max="7" width="15.140625" style="47" bestFit="1" customWidth="1"/>
    <col min="8" max="8" width="5.42578125" style="45" bestFit="1" customWidth="1"/>
    <col min="9" max="9" width="10.28515625" style="48" bestFit="1" customWidth="1"/>
    <col min="10" max="10" width="15.42578125" style="48" bestFit="1" customWidth="1"/>
    <col min="11" max="11" width="7.7109375" style="45" bestFit="1" customWidth="1"/>
    <col min="12" max="12" width="14.7109375" style="49" bestFit="1" customWidth="1"/>
    <col min="13" max="13" width="16.28515625" style="1" bestFit="1" customWidth="1"/>
    <col min="14" max="16384" width="9.140625" style="1"/>
  </cols>
  <sheetData>
    <row r="1" spans="1:12" ht="15" customHeight="1">
      <c r="A1" s="136" t="s">
        <v>473</v>
      </c>
      <c r="B1" s="137"/>
      <c r="C1" s="137"/>
      <c r="D1" s="137"/>
      <c r="E1" s="137"/>
      <c r="F1" s="137"/>
      <c r="G1" s="63"/>
      <c r="H1" s="63"/>
      <c r="I1" s="63"/>
      <c r="J1" s="63"/>
      <c r="K1" s="63"/>
      <c r="L1" s="63"/>
    </row>
    <row r="2" spans="1:12" s="11" customFormat="1" ht="15" customHeight="1">
      <c r="A2" s="112" t="s">
        <v>19</v>
      </c>
      <c r="B2" s="113" t="s">
        <v>2</v>
      </c>
      <c r="C2" s="115" t="s">
        <v>459</v>
      </c>
      <c r="D2" s="116" t="s">
        <v>461</v>
      </c>
      <c r="E2" s="116" t="s">
        <v>268</v>
      </c>
      <c r="F2" s="116" t="s">
        <v>460</v>
      </c>
    </row>
    <row r="3" spans="1:12" ht="15" customHeight="1">
      <c r="A3" s="15" t="s">
        <v>413</v>
      </c>
      <c r="B3" s="13">
        <v>43781</v>
      </c>
      <c r="C3" s="14">
        <v>0.65</v>
      </c>
      <c r="D3" s="15">
        <v>59</v>
      </c>
      <c r="E3" s="43">
        <v>48</v>
      </c>
      <c r="F3" s="24"/>
      <c r="G3" s="1"/>
      <c r="H3" s="1"/>
      <c r="I3" s="1"/>
      <c r="J3" s="1"/>
      <c r="K3" s="1"/>
      <c r="L3" s="1"/>
    </row>
    <row r="4" spans="1:12" ht="15" customHeight="1">
      <c r="A4" s="15" t="s">
        <v>475</v>
      </c>
      <c r="B4" s="13">
        <v>43781</v>
      </c>
      <c r="C4" s="14">
        <v>0.53</v>
      </c>
      <c r="D4" s="15">
        <v>52</v>
      </c>
      <c r="E4" s="43">
        <v>48</v>
      </c>
      <c r="F4" s="24"/>
      <c r="G4" s="1"/>
      <c r="H4" s="1"/>
      <c r="I4" s="1"/>
      <c r="J4" s="1"/>
      <c r="K4" s="1"/>
      <c r="L4" s="1"/>
    </row>
    <row r="5" spans="1:12" ht="15" customHeight="1">
      <c r="A5" s="15" t="s">
        <v>476</v>
      </c>
      <c r="B5" s="13">
        <v>43819</v>
      </c>
      <c r="C5" s="14">
        <v>0.92</v>
      </c>
      <c r="D5" s="15">
        <v>75</v>
      </c>
      <c r="E5" s="43">
        <v>69</v>
      </c>
      <c r="F5" s="24"/>
      <c r="G5" s="1"/>
      <c r="H5" s="1"/>
      <c r="I5" s="1"/>
      <c r="J5" s="1"/>
      <c r="K5" s="1"/>
      <c r="L5" s="1"/>
    </row>
    <row r="6" spans="1:12" ht="15" customHeight="1">
      <c r="A6" s="15" t="s">
        <v>477</v>
      </c>
      <c r="B6" s="13">
        <v>43868</v>
      </c>
      <c r="C6" s="14">
        <v>0.87</v>
      </c>
      <c r="D6" s="15">
        <v>72</v>
      </c>
      <c r="E6" s="24">
        <v>60</v>
      </c>
      <c r="F6" s="24"/>
      <c r="G6" s="1"/>
      <c r="H6" s="1"/>
      <c r="I6" s="1"/>
      <c r="J6" s="1"/>
      <c r="K6" s="1"/>
      <c r="L6" s="1"/>
    </row>
    <row r="7" spans="1:12" ht="15" customHeight="1">
      <c r="A7" s="15" t="s">
        <v>478</v>
      </c>
      <c r="B7" s="13">
        <v>43903</v>
      </c>
      <c r="C7" s="14">
        <v>0.72</v>
      </c>
      <c r="D7" s="15">
        <v>64</v>
      </c>
      <c r="E7" s="24">
        <v>61</v>
      </c>
      <c r="F7" s="24"/>
      <c r="G7" s="1"/>
      <c r="H7" s="1"/>
      <c r="I7" s="1"/>
      <c r="J7" s="1"/>
      <c r="K7" s="1"/>
      <c r="L7" s="1"/>
    </row>
    <row r="8" spans="1:12" ht="15" customHeight="1">
      <c r="A8" s="15" t="s">
        <v>480</v>
      </c>
      <c r="B8" s="13">
        <v>43924</v>
      </c>
      <c r="C8" s="14">
        <v>1</v>
      </c>
      <c r="D8" s="15">
        <v>74</v>
      </c>
      <c r="E8" s="24">
        <v>79</v>
      </c>
      <c r="F8" s="24"/>
      <c r="G8" s="1"/>
      <c r="H8" s="1"/>
      <c r="I8" s="1"/>
      <c r="J8" s="1"/>
      <c r="K8" s="1"/>
      <c r="L8" s="1"/>
    </row>
    <row r="9" spans="1:12" ht="15" customHeight="1">
      <c r="A9" s="15" t="s">
        <v>481</v>
      </c>
      <c r="B9" s="13">
        <v>43924</v>
      </c>
      <c r="C9" s="14">
        <v>0.79</v>
      </c>
      <c r="D9" s="15">
        <v>67</v>
      </c>
      <c r="E9" s="24">
        <v>61</v>
      </c>
      <c r="F9" s="24"/>
      <c r="G9" s="1"/>
      <c r="H9" s="1"/>
      <c r="I9" s="1"/>
      <c r="J9" s="1"/>
      <c r="K9" s="1"/>
      <c r="L9" s="1"/>
    </row>
    <row r="10" spans="1:12" ht="15" customHeight="1">
      <c r="A10" s="15" t="s">
        <v>482</v>
      </c>
      <c r="B10" s="13">
        <v>43994</v>
      </c>
      <c r="C10" s="14">
        <v>0.08</v>
      </c>
      <c r="D10" s="15">
        <v>37</v>
      </c>
      <c r="E10" s="24">
        <v>31</v>
      </c>
      <c r="F10" s="24"/>
      <c r="G10" s="1"/>
      <c r="H10" s="1"/>
      <c r="I10" s="1"/>
      <c r="J10" s="1"/>
      <c r="K10" s="1"/>
      <c r="L10" s="1"/>
    </row>
    <row r="11" spans="1:12" ht="15" customHeight="1">
      <c r="A11" s="15" t="s">
        <v>472</v>
      </c>
      <c r="B11" s="13">
        <v>44015</v>
      </c>
      <c r="C11" s="14">
        <v>0.98</v>
      </c>
      <c r="D11" s="15">
        <v>92</v>
      </c>
      <c r="E11" s="43">
        <v>90</v>
      </c>
      <c r="F11" s="24"/>
      <c r="G11" s="1"/>
      <c r="H11" s="1"/>
      <c r="I11" s="1"/>
      <c r="J11" s="1"/>
      <c r="K11" s="1"/>
      <c r="L11" s="1"/>
    </row>
    <row r="12" spans="1:12" ht="15" customHeight="1">
      <c r="A12" s="15" t="s">
        <v>483</v>
      </c>
      <c r="B12" s="13">
        <v>44043</v>
      </c>
      <c r="C12" s="14">
        <v>0.95</v>
      </c>
      <c r="D12" s="15">
        <v>81</v>
      </c>
      <c r="E12" s="43">
        <v>84</v>
      </c>
      <c r="F12" s="24"/>
      <c r="G12" s="1"/>
      <c r="H12" s="1"/>
      <c r="I12" s="1"/>
      <c r="J12" s="1"/>
      <c r="K12" s="1"/>
      <c r="L12" s="1"/>
    </row>
    <row r="13" spans="1:12" ht="15" customHeight="1">
      <c r="A13" s="15" t="s">
        <v>491</v>
      </c>
      <c r="B13" s="13">
        <v>44050</v>
      </c>
      <c r="C13" s="14">
        <v>0.93</v>
      </c>
      <c r="D13" s="15">
        <v>81</v>
      </c>
      <c r="E13" s="43"/>
      <c r="F13" s="24"/>
      <c r="G13" s="1"/>
      <c r="H13" s="1"/>
      <c r="I13" s="1"/>
      <c r="J13" s="1"/>
      <c r="K13" s="1"/>
      <c r="L13" s="1"/>
    </row>
    <row r="14" spans="1:12" ht="15" customHeight="1">
      <c r="A14" s="15" t="s">
        <v>479</v>
      </c>
      <c r="B14" s="13">
        <v>44057</v>
      </c>
      <c r="C14" s="14">
        <v>0.42</v>
      </c>
      <c r="D14" s="15">
        <v>51</v>
      </c>
      <c r="E14" s="43">
        <v>50</v>
      </c>
      <c r="F14" s="24"/>
    </row>
    <row r="15" spans="1:12" ht="15" customHeight="1">
      <c r="A15" s="15" t="s">
        <v>474</v>
      </c>
      <c r="B15" s="13">
        <v>44064</v>
      </c>
      <c r="C15" s="14">
        <v>0.7</v>
      </c>
      <c r="D15" s="15">
        <v>62</v>
      </c>
      <c r="E15" s="43">
        <v>58</v>
      </c>
      <c r="F15" s="24"/>
    </row>
    <row r="16" spans="1:12" ht="15" customHeight="1">
      <c r="A16" s="15" t="s">
        <v>484</v>
      </c>
      <c r="B16" s="13">
        <v>44071</v>
      </c>
      <c r="C16" s="14">
        <v>1</v>
      </c>
      <c r="D16" s="15">
        <v>71</v>
      </c>
      <c r="E16" s="43">
        <v>77</v>
      </c>
      <c r="F16" s="24"/>
    </row>
    <row r="17" spans="1:12" ht="15" customHeight="1">
      <c r="A17" s="15" t="s">
        <v>151</v>
      </c>
      <c r="B17" s="13">
        <v>44078</v>
      </c>
      <c r="C17" s="14">
        <v>0.73</v>
      </c>
      <c r="D17" s="15">
        <v>68</v>
      </c>
      <c r="E17" s="43">
        <v>67</v>
      </c>
      <c r="F17" s="24"/>
    </row>
    <row r="18" spans="1:12" ht="15" customHeight="1">
      <c r="A18" s="15" t="s">
        <v>485</v>
      </c>
      <c r="B18" s="13">
        <v>44099</v>
      </c>
      <c r="C18" s="14">
        <v>0.59</v>
      </c>
      <c r="D18" s="15">
        <v>54</v>
      </c>
      <c r="E18" s="43">
        <v>34</v>
      </c>
      <c r="F18" s="24"/>
    </row>
    <row r="19" spans="1:12" ht="15" customHeight="1">
      <c r="A19" s="15" t="s">
        <v>486</v>
      </c>
      <c r="B19" s="13">
        <v>44120</v>
      </c>
      <c r="C19" s="14">
        <v>0.76</v>
      </c>
      <c r="D19" s="15">
        <v>66</v>
      </c>
      <c r="E19" s="43">
        <v>58</v>
      </c>
      <c r="F19" s="24"/>
    </row>
    <row r="20" spans="1:12" ht="15" customHeight="1">
      <c r="A20" s="15" t="s">
        <v>489</v>
      </c>
      <c r="B20" s="13">
        <v>44160</v>
      </c>
      <c r="C20" s="14">
        <v>1</v>
      </c>
      <c r="D20" s="15">
        <v>73</v>
      </c>
      <c r="E20" s="43"/>
      <c r="F20" s="24"/>
    </row>
    <row r="21" spans="1:12" ht="15" customHeight="1">
      <c r="A21" s="15" t="s">
        <v>490</v>
      </c>
      <c r="B21" s="13">
        <v>44162</v>
      </c>
      <c r="C21" s="14">
        <v>0.48</v>
      </c>
      <c r="D21" s="15">
        <v>53</v>
      </c>
      <c r="E21" s="43"/>
      <c r="F21" s="24"/>
    </row>
    <row r="22" spans="1:12" ht="15" customHeight="1">
      <c r="A22" s="15" t="s">
        <v>488</v>
      </c>
      <c r="B22" s="13">
        <v>44169</v>
      </c>
      <c r="C22" s="14">
        <v>0.65</v>
      </c>
      <c r="D22" s="15">
        <v>56</v>
      </c>
      <c r="E22" s="43"/>
      <c r="F22" s="24"/>
    </row>
    <row r="23" spans="1:12" ht="15" customHeight="1">
      <c r="A23" s="15" t="s">
        <v>487</v>
      </c>
      <c r="B23" s="13">
        <v>44176</v>
      </c>
      <c r="C23" s="14"/>
      <c r="D23" s="15"/>
      <c r="E23" s="43"/>
      <c r="F23" s="24"/>
    </row>
    <row r="24" spans="1:12" ht="15" customHeight="1">
      <c r="A24" s="15" t="s">
        <v>304</v>
      </c>
      <c r="B24" s="13">
        <v>44190</v>
      </c>
      <c r="C24" s="14">
        <v>1</v>
      </c>
      <c r="D24" s="15">
        <v>84</v>
      </c>
      <c r="E24" s="43">
        <v>89</v>
      </c>
      <c r="F24" s="24"/>
    </row>
    <row r="25" spans="1:12" ht="15" customHeight="1">
      <c r="A25" s="15"/>
      <c r="B25" s="13"/>
      <c r="C25" s="14"/>
      <c r="D25" s="15"/>
      <c r="E25" s="43"/>
      <c r="F25" s="24"/>
    </row>
    <row r="26" spans="1:12" ht="15" customHeight="1">
      <c r="A26" s="15"/>
      <c r="B26" s="13"/>
      <c r="C26" s="14"/>
      <c r="D26" s="15"/>
      <c r="E26" s="43"/>
      <c r="F26" s="24"/>
    </row>
    <row r="27" spans="1:12" ht="15" customHeight="1">
      <c r="A27" s="15"/>
      <c r="B27" s="13"/>
      <c r="C27" s="14"/>
      <c r="D27" s="15"/>
      <c r="E27" s="43"/>
      <c r="F27" s="24"/>
      <c r="G27" s="1"/>
      <c r="H27" s="1"/>
      <c r="I27" s="1"/>
      <c r="J27" s="1"/>
      <c r="K27" s="1"/>
      <c r="L27" s="1"/>
    </row>
    <row r="28" spans="1:12" ht="15" customHeight="1">
      <c r="B28" s="1"/>
      <c r="E28" s="1"/>
      <c r="F28" s="1"/>
      <c r="G28" s="1"/>
      <c r="H28" s="1"/>
      <c r="I28" s="1"/>
      <c r="J28" s="1"/>
      <c r="K28" s="1"/>
      <c r="L28" s="1"/>
    </row>
    <row r="29" spans="1:12" ht="15" customHeight="1">
      <c r="B29" s="1"/>
      <c r="E29" s="1"/>
      <c r="F29" s="1"/>
      <c r="G29" s="1"/>
      <c r="H29" s="1"/>
      <c r="I29" s="1"/>
      <c r="J29" s="1"/>
      <c r="K29" s="1"/>
      <c r="L29" s="1"/>
    </row>
    <row r="30" spans="1:12" ht="15" customHeight="1">
      <c r="B30" s="1"/>
      <c r="E30" s="1"/>
      <c r="F30" s="1"/>
      <c r="G30" s="1"/>
      <c r="H30" s="1"/>
      <c r="I30" s="1"/>
      <c r="J30" s="1"/>
      <c r="K30" s="1"/>
      <c r="L30" s="1"/>
    </row>
    <row r="31" spans="1:12" ht="15" customHeight="1">
      <c r="B31" s="1"/>
      <c r="E31" s="1"/>
      <c r="F31" s="1"/>
      <c r="G31" s="1"/>
      <c r="H31" s="1"/>
      <c r="I31" s="1"/>
      <c r="J31" s="1"/>
      <c r="K31" s="1"/>
      <c r="L31" s="1"/>
    </row>
    <row r="32" spans="1:12" ht="15" customHeight="1">
      <c r="B32" s="1"/>
      <c r="E32" s="1"/>
      <c r="F32" s="1"/>
      <c r="G32" s="1"/>
      <c r="H32" s="1"/>
      <c r="I32" s="1"/>
      <c r="J32" s="1"/>
      <c r="K32" s="1"/>
      <c r="L32" s="1"/>
    </row>
    <row r="33" s="1" customFormat="1" ht="15" customHeight="1"/>
    <row r="34" s="1" customFormat="1" ht="15" customHeight="1"/>
    <row r="35" s="1" customFormat="1" ht="15" customHeight="1"/>
    <row r="36" s="1" customFormat="1" ht="15" customHeight="1"/>
    <row r="37" s="1" customFormat="1" ht="15" customHeight="1"/>
    <row r="38" s="1" customFormat="1" ht="15" customHeight="1"/>
    <row r="39" s="1" customFormat="1" ht="15" customHeight="1"/>
    <row r="40" s="1" customFormat="1" ht="15" customHeight="1"/>
    <row r="41" s="1" customFormat="1" ht="15" customHeight="1"/>
    <row r="42" s="1" customFormat="1" ht="15" customHeight="1"/>
    <row r="43" s="1" customFormat="1" ht="15" customHeight="1"/>
    <row r="44" s="1" customFormat="1" ht="15" customHeight="1"/>
    <row r="45" s="1" customFormat="1" ht="15" customHeight="1"/>
    <row r="46" s="1" customFormat="1" ht="15" customHeight="1"/>
    <row r="47" s="1" customFormat="1" ht="15" customHeight="1"/>
    <row r="48" s="1" customFormat="1" ht="15" customHeight="1"/>
    <row r="49" spans="2:12" ht="15" customHeight="1">
      <c r="B49" s="1"/>
      <c r="E49" s="1"/>
      <c r="F49" s="1"/>
      <c r="G49" s="1"/>
      <c r="H49" s="1"/>
      <c r="I49" s="1"/>
      <c r="J49" s="1"/>
      <c r="K49" s="1"/>
      <c r="L49" s="1"/>
    </row>
    <row r="50" spans="2:12" ht="15" customHeight="1">
      <c r="B50" s="1"/>
      <c r="E50" s="1"/>
      <c r="F50" s="1"/>
      <c r="G50" s="1"/>
      <c r="H50" s="1"/>
      <c r="I50" s="1"/>
      <c r="J50" s="1"/>
      <c r="K50" s="1"/>
      <c r="L50" s="1"/>
    </row>
    <row r="51" spans="2:12" ht="15" customHeight="1">
      <c r="B51" s="1"/>
      <c r="E51" s="1"/>
      <c r="F51" s="1"/>
      <c r="G51" s="1"/>
      <c r="H51" s="1"/>
      <c r="I51" s="1"/>
      <c r="J51" s="1"/>
      <c r="K51" s="1"/>
      <c r="L51" s="1"/>
    </row>
    <row r="52" spans="2:12" ht="15" customHeight="1">
      <c r="B52" s="1"/>
      <c r="E52" s="1"/>
      <c r="F52" s="1"/>
      <c r="G52" s="1"/>
      <c r="H52" s="1"/>
      <c r="I52" s="1"/>
      <c r="J52" s="1"/>
      <c r="K52" s="1"/>
      <c r="L52" s="1"/>
    </row>
    <row r="53" spans="2:12" ht="15" customHeight="1">
      <c r="B53" s="1"/>
      <c r="E53" s="1"/>
      <c r="F53" s="1"/>
      <c r="G53" s="1"/>
      <c r="H53" s="1"/>
      <c r="I53" s="1"/>
      <c r="J53" s="1"/>
      <c r="K53" s="1"/>
      <c r="L53" s="1"/>
    </row>
    <row r="54" spans="2:12" ht="15" customHeight="1">
      <c r="B54" s="1"/>
      <c r="E54" s="1"/>
      <c r="F54" s="1"/>
      <c r="G54" s="1"/>
      <c r="H54" s="1"/>
      <c r="I54" s="1"/>
      <c r="J54" s="1"/>
      <c r="K54" s="1"/>
      <c r="L54" s="1"/>
    </row>
    <row r="55" spans="2:12" ht="15" customHeight="1">
      <c r="G55" s="1"/>
      <c r="H55" s="1"/>
      <c r="I55" s="1"/>
      <c r="J55" s="1"/>
      <c r="K55" s="1"/>
      <c r="L55" s="1"/>
    </row>
    <row r="56" spans="2:12" ht="15" customHeight="1">
      <c r="G56" s="1"/>
      <c r="H56" s="1"/>
      <c r="I56" s="1"/>
      <c r="J56" s="1"/>
      <c r="K56" s="1"/>
      <c r="L56" s="1"/>
    </row>
    <row r="57" spans="2:12" ht="15" customHeight="1">
      <c r="G57" s="1"/>
      <c r="H57" s="1"/>
      <c r="I57" s="1"/>
      <c r="J57" s="1"/>
      <c r="K57" s="1"/>
      <c r="L57" s="1"/>
    </row>
    <row r="58" spans="2:12" ht="15" customHeight="1">
      <c r="G58" s="1"/>
      <c r="H58" s="1"/>
      <c r="I58" s="1"/>
      <c r="J58" s="1"/>
      <c r="K58" s="1"/>
      <c r="L58" s="1"/>
    </row>
    <row r="59" spans="2:12" ht="15" customHeight="1">
      <c r="G59" s="1"/>
      <c r="H59" s="1"/>
      <c r="I59" s="1"/>
      <c r="J59" s="1"/>
      <c r="K59" s="1"/>
      <c r="L59" s="1"/>
    </row>
    <row r="60" spans="2:12" ht="15" customHeight="1">
      <c r="G60" s="1"/>
      <c r="H60" s="1"/>
      <c r="I60" s="1"/>
      <c r="J60" s="1"/>
      <c r="K60" s="1"/>
      <c r="L60" s="1"/>
    </row>
    <row r="61" spans="2:12" ht="15" customHeight="1">
      <c r="G61" s="1"/>
      <c r="H61" s="1"/>
      <c r="I61" s="1"/>
      <c r="J61" s="1"/>
      <c r="K61" s="1"/>
      <c r="L61" s="1"/>
    </row>
    <row r="62" spans="2:12" ht="15" customHeight="1">
      <c r="G62" s="1"/>
      <c r="H62" s="1"/>
      <c r="I62" s="1"/>
      <c r="J62" s="1"/>
      <c r="K62" s="1"/>
      <c r="L62" s="1"/>
    </row>
    <row r="63" spans="2:12" ht="15" customHeight="1">
      <c r="G63" s="1"/>
      <c r="H63" s="1"/>
      <c r="I63" s="1"/>
      <c r="J63" s="1"/>
      <c r="K63" s="1"/>
      <c r="L63" s="1"/>
    </row>
  </sheetData>
  <autoFilter ref="A2:F2" xr:uid="{F0F125B3-E772-4B27-86A7-DDAD61A99A00}">
    <sortState xmlns:xlrd2="http://schemas.microsoft.com/office/spreadsheetml/2017/richdata2" ref="A3:F15">
      <sortCondition ref="B2"/>
    </sortState>
  </autoFilter>
  <sortState xmlns:xlrd2="http://schemas.microsoft.com/office/spreadsheetml/2017/richdata2" ref="A3:F17">
    <sortCondition ref="B8"/>
  </sortState>
  <mergeCells count="1">
    <mergeCell ref="A1:F1"/>
  </mergeCells>
  <conditionalFormatting sqref="C3:D5">
    <cfRule type="cellIs" dxfId="346" priority="32" operator="between">
      <formula>0.005</formula>
      <formula>0.394999999999999</formula>
    </cfRule>
  </conditionalFormatting>
  <conditionalFormatting sqref="C3:D5">
    <cfRule type="cellIs" dxfId="345" priority="29" operator="between">
      <formula>0.745</formula>
      <formula>1</formula>
    </cfRule>
  </conditionalFormatting>
  <conditionalFormatting sqref="C3:D5">
    <cfRule type="cellIs" dxfId="344" priority="30" operator="between">
      <formula>0.595</formula>
      <formula>0.744999999999999</formula>
    </cfRule>
  </conditionalFormatting>
  <conditionalFormatting sqref="C3:D5">
    <cfRule type="cellIs" dxfId="343" priority="31" operator="between">
      <formula>0.395</formula>
      <formula>0.594999999999999</formula>
    </cfRule>
  </conditionalFormatting>
  <conditionalFormatting sqref="D3:D5">
    <cfRule type="cellIs" dxfId="342" priority="21" operator="between">
      <formula>40</formula>
      <formula>59</formula>
    </cfRule>
    <cfRule type="cellIs" dxfId="341" priority="22" operator="between">
      <formula>1</formula>
      <formula>39</formula>
    </cfRule>
    <cfRule type="cellIs" dxfId="340" priority="23" operator="between">
      <formula>60</formula>
      <formula>70</formula>
    </cfRule>
    <cfRule type="cellIs" dxfId="339" priority="24" operator="between">
      <formula>71</formula>
      <formula>100</formula>
    </cfRule>
  </conditionalFormatting>
  <conditionalFormatting sqref="C11:D27">
    <cfRule type="cellIs" dxfId="338" priority="100" operator="between">
      <formula>0.005</formula>
      <formula>0.394999999999999</formula>
    </cfRule>
  </conditionalFormatting>
  <conditionalFormatting sqref="C11:D27">
    <cfRule type="cellIs" dxfId="337" priority="97" operator="between">
      <formula>0.745</formula>
      <formula>1</formula>
    </cfRule>
  </conditionalFormatting>
  <conditionalFormatting sqref="C11:D27">
    <cfRule type="cellIs" dxfId="336" priority="98" operator="between">
      <formula>0.595</formula>
      <formula>0.744999999999999</formula>
    </cfRule>
  </conditionalFormatting>
  <conditionalFormatting sqref="C11:D27">
    <cfRule type="cellIs" dxfId="335" priority="99" operator="between">
      <formula>0.395</formula>
      <formula>0.594999999999999</formula>
    </cfRule>
  </conditionalFormatting>
  <conditionalFormatting sqref="D11:D27">
    <cfRule type="cellIs" dxfId="334" priority="93" operator="between">
      <formula>40</formula>
      <formula>59</formula>
    </cfRule>
    <cfRule type="cellIs" dxfId="333" priority="94" operator="between">
      <formula>1</formula>
      <formula>39</formula>
    </cfRule>
    <cfRule type="cellIs" dxfId="332" priority="95" operator="between">
      <formula>60</formula>
      <formula>70</formula>
    </cfRule>
    <cfRule type="cellIs" dxfId="331" priority="96" operator="between">
      <formula>71</formula>
      <formula>100</formula>
    </cfRule>
  </conditionalFormatting>
  <conditionalFormatting sqref="D2">
    <cfRule type="cellIs" dxfId="330" priority="90" operator="between">
      <formula>40</formula>
      <formula>59</formula>
    </cfRule>
    <cfRule type="cellIs" dxfId="329" priority="91" operator="between">
      <formula>1</formula>
      <formula>39</formula>
    </cfRule>
    <cfRule type="cellIs" dxfId="328" priority="92" operator="between">
      <formula>60</formula>
      <formula>70</formula>
    </cfRule>
  </conditionalFormatting>
  <conditionalFormatting sqref="D8 D10">
    <cfRule type="cellIs" dxfId="327" priority="67" operator="between">
      <formula>40</formula>
      <formula>59</formula>
    </cfRule>
  </conditionalFormatting>
  <conditionalFormatting sqref="C8 C10">
    <cfRule type="cellIs" dxfId="326" priority="63" operator="between">
      <formula>0.39</formula>
      <formula>0.01</formula>
    </cfRule>
    <cfRule type="cellIs" dxfId="325" priority="64" operator="between">
      <formula>0.4</formula>
      <formula>0.59</formula>
    </cfRule>
    <cfRule type="cellIs" dxfId="324" priority="65" operator="between">
      <formula>0.6</formula>
      <formula>0.74</formula>
    </cfRule>
    <cfRule type="cellIs" dxfId="323" priority="66" operator="greaterThan">
      <formula>0.74</formula>
    </cfRule>
  </conditionalFormatting>
  <conditionalFormatting sqref="D8 D10">
    <cfRule type="cellIs" dxfId="322" priority="68" operator="between">
      <formula>71</formula>
      <formula>100</formula>
    </cfRule>
    <cfRule type="cellIs" dxfId="321" priority="69" operator="between">
      <formula>1</formula>
      <formula>39</formula>
    </cfRule>
    <cfRule type="cellIs" dxfId="320" priority="70" operator="between">
      <formula>60</formula>
      <formula>70</formula>
    </cfRule>
    <cfRule type="cellIs" dxfId="319" priority="71" operator="between">
      <formula>71</formula>
      <formula>100</formula>
    </cfRule>
  </conditionalFormatting>
  <conditionalFormatting sqref="D6:D7">
    <cfRule type="cellIs" dxfId="318" priority="58" operator="between">
      <formula>40</formula>
      <formula>59</formula>
    </cfRule>
  </conditionalFormatting>
  <conditionalFormatting sqref="C6:C7">
    <cfRule type="cellIs" dxfId="317" priority="54" operator="between">
      <formula>0.39</formula>
      <formula>0.01</formula>
    </cfRule>
    <cfRule type="cellIs" dxfId="316" priority="55" operator="between">
      <formula>0.4</formula>
      <formula>0.59</formula>
    </cfRule>
    <cfRule type="cellIs" dxfId="315" priority="56" operator="between">
      <formula>0.6</formula>
      <formula>0.74</formula>
    </cfRule>
    <cfRule type="cellIs" dxfId="314" priority="57" operator="greaterThan">
      <formula>0.74</formula>
    </cfRule>
  </conditionalFormatting>
  <conditionalFormatting sqref="D6:D7">
    <cfRule type="cellIs" dxfId="313" priority="59" operator="between">
      <formula>71</formula>
      <formula>100</formula>
    </cfRule>
    <cfRule type="cellIs" dxfId="312" priority="60" operator="between">
      <formula>1</formula>
      <formula>39</formula>
    </cfRule>
    <cfRule type="cellIs" dxfId="311" priority="61" operator="between">
      <formula>60</formula>
      <formula>70</formula>
    </cfRule>
    <cfRule type="cellIs" dxfId="310" priority="62" operator="between">
      <formula>71</formula>
      <formula>100</formula>
    </cfRule>
  </conditionalFormatting>
  <conditionalFormatting sqref="D9">
    <cfRule type="cellIs" dxfId="309" priority="101" operator="between">
      <formula>40</formula>
      <formula>59</formula>
    </cfRule>
  </conditionalFormatting>
  <conditionalFormatting sqref="C9">
    <cfRule type="cellIs" dxfId="308" priority="18" operator="between">
      <formula>0.39</formula>
      <formula>0.01</formula>
    </cfRule>
    <cfRule type="cellIs" dxfId="307" priority="19" operator="between">
      <formula>0.4</formula>
      <formula>0.59</formula>
    </cfRule>
    <cfRule type="cellIs" dxfId="306" priority="20" operator="between">
      <formula>0.6</formula>
      <formula>0.74</formula>
    </cfRule>
    <cfRule type="cellIs" dxfId="305" priority="102" operator="greaterThan">
      <formula>0.74</formula>
    </cfRule>
  </conditionalFormatting>
  <conditionalFormatting sqref="D9">
    <cfRule type="cellIs" dxfId="304" priority="25" operator="between">
      <formula>60</formula>
      <formula>70</formula>
    </cfRule>
    <cfRule type="cellIs" dxfId="303" priority="26" operator="between">
      <formula>71</formula>
      <formula>100</formula>
    </cfRule>
    <cfRule type="cellIs" dxfId="302" priority="103" operator="between">
      <formula>71</formula>
      <formula>100</formula>
    </cfRule>
    <cfRule type="cellIs" dxfId="301" priority="103" operator="between">
      <formula>1</formula>
      <formula>39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L70"/>
  <sheetViews>
    <sheetView topLeftCell="A28" workbookViewId="0">
      <selection activeCell="F43" sqref="F43"/>
    </sheetView>
  </sheetViews>
  <sheetFormatPr defaultColWidth="9.140625" defaultRowHeight="15" customHeight="1"/>
  <cols>
    <col min="1" max="1" width="40.28515625" style="53" bestFit="1" customWidth="1"/>
    <col min="2" max="2" width="20.28515625" style="53" bestFit="1" customWidth="1"/>
    <col min="3" max="3" width="7.42578125" style="53" bestFit="1" customWidth="1"/>
    <col min="4" max="4" width="5.7109375" style="53" bestFit="1" customWidth="1"/>
    <col min="5" max="5" width="15.42578125" style="53" bestFit="1" customWidth="1"/>
    <col min="6" max="6" width="13.7109375" style="53" bestFit="1" customWidth="1"/>
    <col min="7" max="7" width="9.42578125" style="53" bestFit="1" customWidth="1"/>
    <col min="8" max="8" width="14.140625" style="53" bestFit="1" customWidth="1"/>
    <col min="9" max="9" width="5.42578125" style="53" bestFit="1" customWidth="1"/>
    <col min="10" max="10" width="15.42578125" style="53" bestFit="1" customWidth="1"/>
    <col min="11" max="11" width="14.7109375" style="53" bestFit="1" customWidth="1"/>
    <col min="12" max="12" width="18.7109375" style="85" bestFit="1" customWidth="1"/>
    <col min="13" max="16384" width="9.140625" style="53"/>
  </cols>
  <sheetData>
    <row r="1" spans="1:12" ht="15" customHeight="1">
      <c r="A1" s="136" t="s">
        <v>44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</row>
    <row r="2" spans="1:12" s="80" customFormat="1" ht="15" customHeight="1">
      <c r="A2" s="2" t="s">
        <v>19</v>
      </c>
      <c r="B2" s="3" t="s">
        <v>2</v>
      </c>
      <c r="C2" s="4" t="s">
        <v>92</v>
      </c>
      <c r="D2" s="2" t="s">
        <v>93</v>
      </c>
      <c r="E2" s="6" t="s">
        <v>9</v>
      </c>
      <c r="F2" s="6" t="s">
        <v>0</v>
      </c>
      <c r="G2" s="8" t="s">
        <v>37</v>
      </c>
      <c r="H2" s="6" t="s">
        <v>270</v>
      </c>
      <c r="I2" s="9" t="s">
        <v>269</v>
      </c>
      <c r="J2" s="6" t="s">
        <v>271</v>
      </c>
      <c r="K2" s="6" t="s">
        <v>225</v>
      </c>
      <c r="L2" s="82" t="s">
        <v>31</v>
      </c>
    </row>
    <row r="3" spans="1:12" ht="15" customHeight="1">
      <c r="A3" s="22" t="s">
        <v>45</v>
      </c>
      <c r="B3" s="13">
        <v>42776</v>
      </c>
      <c r="C3" s="14">
        <v>0.91</v>
      </c>
      <c r="D3" s="15">
        <v>75</v>
      </c>
      <c r="E3" s="17">
        <v>80000000</v>
      </c>
      <c r="F3" s="18">
        <v>53003468</v>
      </c>
      <c r="G3" s="20">
        <f t="shared" ref="G3:G39" si="0">F3/H3</f>
        <v>0.30158379625503406</v>
      </c>
      <c r="H3" s="17">
        <v>175750384</v>
      </c>
      <c r="I3" s="21">
        <f t="shared" ref="I3:I39" si="1">H3/F3</f>
        <v>3.3158280133669744</v>
      </c>
      <c r="J3" s="17">
        <v>135100000</v>
      </c>
      <c r="K3" s="17">
        <f t="shared" ref="K3:K62" si="2">H3+J3</f>
        <v>310850384</v>
      </c>
      <c r="L3" s="13">
        <v>42894</v>
      </c>
    </row>
    <row r="4" spans="1:12" ht="15" customHeight="1">
      <c r="A4" s="12" t="s">
        <v>46</v>
      </c>
      <c r="B4" s="13">
        <v>42790</v>
      </c>
      <c r="C4" s="14">
        <v>0.27</v>
      </c>
      <c r="D4" s="15">
        <v>39</v>
      </c>
      <c r="E4" s="17">
        <v>25000000</v>
      </c>
      <c r="F4" s="17">
        <v>12201873</v>
      </c>
      <c r="G4" s="20">
        <f t="shared" si="0"/>
        <v>0.37909300510823973</v>
      </c>
      <c r="H4" s="17">
        <v>32187017</v>
      </c>
      <c r="I4" s="21">
        <f t="shared" si="1"/>
        <v>2.6378751032730796</v>
      </c>
      <c r="J4" s="17">
        <v>8800000</v>
      </c>
      <c r="K4" s="17">
        <f t="shared" si="2"/>
        <v>40987017</v>
      </c>
      <c r="L4" s="13">
        <v>42838</v>
      </c>
    </row>
    <row r="5" spans="1:12" ht="15" customHeight="1">
      <c r="A5" s="22" t="s">
        <v>47</v>
      </c>
      <c r="B5" s="13">
        <v>42804</v>
      </c>
      <c r="C5" s="14">
        <v>0.76</v>
      </c>
      <c r="D5" s="15">
        <v>65</v>
      </c>
      <c r="E5" s="17">
        <v>185000000</v>
      </c>
      <c r="F5" s="17">
        <v>61025472</v>
      </c>
      <c r="G5" s="20">
        <f t="shared" si="0"/>
        <v>0.36313270378361773</v>
      </c>
      <c r="H5" s="17">
        <v>168052812</v>
      </c>
      <c r="I5" s="21">
        <f t="shared" si="1"/>
        <v>2.7538142105644017</v>
      </c>
      <c r="J5" s="17">
        <v>398100000</v>
      </c>
      <c r="K5" s="17">
        <f t="shared" si="2"/>
        <v>566152812</v>
      </c>
      <c r="L5" s="13">
        <v>42901</v>
      </c>
    </row>
    <row r="6" spans="1:12" ht="15" customHeight="1">
      <c r="A6" s="12" t="s">
        <v>48</v>
      </c>
      <c r="B6" s="13">
        <v>42818</v>
      </c>
      <c r="C6" s="14">
        <v>0.16</v>
      </c>
      <c r="D6" s="15">
        <v>36</v>
      </c>
      <c r="E6" s="17">
        <v>25000000</v>
      </c>
      <c r="F6" s="17">
        <v>7722802</v>
      </c>
      <c r="G6" s="20">
        <f t="shared" si="0"/>
        <v>0.41520101556159328</v>
      </c>
      <c r="H6" s="17">
        <v>18600152</v>
      </c>
      <c r="I6" s="21">
        <f t="shared" si="1"/>
        <v>2.4084719509835937</v>
      </c>
      <c r="J6" s="17">
        <v>6900000</v>
      </c>
      <c r="K6" s="17">
        <f t="shared" si="2"/>
        <v>25500152</v>
      </c>
      <c r="L6" s="13">
        <v>42880</v>
      </c>
    </row>
    <row r="7" spans="1:12" ht="15" customHeight="1">
      <c r="A7" s="25" t="s">
        <v>49</v>
      </c>
      <c r="B7" s="13">
        <v>42832</v>
      </c>
      <c r="C7" s="14">
        <v>0.46</v>
      </c>
      <c r="D7" s="15">
        <v>53</v>
      </c>
      <c r="E7" s="17">
        <v>25000000</v>
      </c>
      <c r="F7" s="17">
        <v>11932330</v>
      </c>
      <c r="G7" s="20">
        <f t="shared" si="0"/>
        <v>0.26505368088228359</v>
      </c>
      <c r="H7" s="17">
        <v>45018541</v>
      </c>
      <c r="I7" s="21">
        <f t="shared" si="1"/>
        <v>3.7728206477695472</v>
      </c>
      <c r="J7" s="17">
        <v>37100000</v>
      </c>
      <c r="K7" s="17">
        <f t="shared" si="2"/>
        <v>82118541</v>
      </c>
      <c r="L7" s="13">
        <v>42929</v>
      </c>
    </row>
    <row r="8" spans="1:12" ht="15" customHeight="1">
      <c r="A8" s="12" t="s">
        <v>50</v>
      </c>
      <c r="B8" s="13">
        <v>42846</v>
      </c>
      <c r="C8" s="14">
        <v>0.26</v>
      </c>
      <c r="D8" s="15">
        <v>39</v>
      </c>
      <c r="E8" s="17">
        <v>12000000</v>
      </c>
      <c r="F8" s="17">
        <v>4785431</v>
      </c>
      <c r="G8" s="20">
        <f t="shared" si="0"/>
        <v>0.42095583642944784</v>
      </c>
      <c r="H8" s="17">
        <v>11368012</v>
      </c>
      <c r="I8" s="21">
        <f t="shared" si="1"/>
        <v>2.3755461106847013</v>
      </c>
      <c r="J8" s="17">
        <v>3800000</v>
      </c>
      <c r="K8" s="17">
        <f t="shared" si="2"/>
        <v>15168012</v>
      </c>
      <c r="L8" s="13">
        <v>42887</v>
      </c>
    </row>
    <row r="9" spans="1:12" ht="15" customHeight="1">
      <c r="A9" s="12" t="s">
        <v>51</v>
      </c>
      <c r="B9" s="13">
        <v>42867</v>
      </c>
      <c r="C9" s="14">
        <v>0.28000000000000003</v>
      </c>
      <c r="D9" s="15">
        <v>46</v>
      </c>
      <c r="E9" s="17">
        <v>175000000</v>
      </c>
      <c r="F9" s="17">
        <v>15371270</v>
      </c>
      <c r="G9" s="20">
        <f t="shared" si="0"/>
        <v>0.39237381246530639</v>
      </c>
      <c r="H9" s="17">
        <v>39175066</v>
      </c>
      <c r="I9" s="21">
        <f t="shared" si="1"/>
        <v>2.5485900644514086</v>
      </c>
      <c r="J9" s="17">
        <v>101600000</v>
      </c>
      <c r="K9" s="17">
        <f t="shared" si="2"/>
        <v>140775066</v>
      </c>
      <c r="L9" s="13">
        <v>42936</v>
      </c>
    </row>
    <row r="10" spans="1:12" ht="15" customHeight="1">
      <c r="A10" s="22" t="s">
        <v>52</v>
      </c>
      <c r="B10" s="13">
        <v>42874</v>
      </c>
      <c r="C10" s="14">
        <v>0.47</v>
      </c>
      <c r="D10" s="15">
        <v>54</v>
      </c>
      <c r="E10" s="17">
        <v>10000000</v>
      </c>
      <c r="F10" s="17">
        <v>11727390</v>
      </c>
      <c r="G10" s="20">
        <f t="shared" si="0"/>
        <v>0.34369865719609605</v>
      </c>
      <c r="H10" s="17">
        <v>34121140</v>
      </c>
      <c r="I10" s="21">
        <f t="shared" si="1"/>
        <v>2.9095254783886269</v>
      </c>
      <c r="J10" s="17">
        <v>22300000</v>
      </c>
      <c r="K10" s="17">
        <f t="shared" si="2"/>
        <v>56421140</v>
      </c>
      <c r="L10" s="13">
        <v>42943</v>
      </c>
    </row>
    <row r="11" spans="1:12" ht="15" customHeight="1">
      <c r="A11" s="22" t="s">
        <v>40</v>
      </c>
      <c r="B11" s="13">
        <v>42888</v>
      </c>
      <c r="C11" s="14">
        <v>0.93</v>
      </c>
      <c r="D11" s="15">
        <v>76</v>
      </c>
      <c r="E11" s="17">
        <v>150000000</v>
      </c>
      <c r="F11" s="17">
        <v>103251471</v>
      </c>
      <c r="G11" s="20">
        <f t="shared" si="0"/>
        <v>0.25026812605736476</v>
      </c>
      <c r="H11" s="17">
        <v>412563408</v>
      </c>
      <c r="I11" s="21">
        <f t="shared" si="1"/>
        <v>3.995714579214082</v>
      </c>
      <c r="J11" s="17">
        <v>409200000</v>
      </c>
      <c r="K11" s="17">
        <f t="shared" si="2"/>
        <v>821763408</v>
      </c>
      <c r="L11" s="13">
        <v>43048</v>
      </c>
    </row>
    <row r="12" spans="1:12" ht="15" customHeight="1">
      <c r="A12" s="12" t="s">
        <v>53</v>
      </c>
      <c r="B12" s="13">
        <v>42916</v>
      </c>
      <c r="C12" s="14">
        <v>0.19</v>
      </c>
      <c r="D12" s="15">
        <v>37</v>
      </c>
      <c r="E12" s="17">
        <v>40000000</v>
      </c>
      <c r="F12" s="17">
        <v>8724795</v>
      </c>
      <c r="G12" s="20">
        <f t="shared" si="0"/>
        <v>0.3410187275860419</v>
      </c>
      <c r="H12" s="17">
        <v>25584504</v>
      </c>
      <c r="I12" s="21">
        <f t="shared" si="1"/>
        <v>2.9323902739262069</v>
      </c>
      <c r="J12" s="17">
        <v>7800000</v>
      </c>
      <c r="K12" s="17">
        <f t="shared" si="2"/>
        <v>33384504</v>
      </c>
      <c r="L12" s="13">
        <v>42978</v>
      </c>
    </row>
    <row r="13" spans="1:12" ht="15" customHeight="1">
      <c r="A13" s="22" t="s">
        <v>54</v>
      </c>
      <c r="B13" s="13">
        <v>42937</v>
      </c>
      <c r="C13" s="14">
        <v>0.92</v>
      </c>
      <c r="D13" s="15">
        <v>87</v>
      </c>
      <c r="E13" s="17">
        <v>100000000</v>
      </c>
      <c r="F13" s="17">
        <v>50513488</v>
      </c>
      <c r="G13" s="20">
        <f t="shared" si="0"/>
        <v>0.26576495562542052</v>
      </c>
      <c r="H13" s="17">
        <v>190068280</v>
      </c>
      <c r="I13" s="21">
        <f t="shared" si="1"/>
        <v>3.7627233344092175</v>
      </c>
      <c r="J13" s="17">
        <v>337000000</v>
      </c>
      <c r="K13" s="17">
        <f t="shared" si="2"/>
        <v>527068280</v>
      </c>
      <c r="L13" s="13">
        <v>43083</v>
      </c>
    </row>
    <row r="14" spans="1:12" ht="15" customHeight="1">
      <c r="A14" s="22" t="s">
        <v>55</v>
      </c>
      <c r="B14" s="13">
        <v>42958</v>
      </c>
      <c r="C14" s="14">
        <v>0.68</v>
      </c>
      <c r="D14" s="15">
        <v>61</v>
      </c>
      <c r="E14" s="17">
        <v>15000000</v>
      </c>
      <c r="F14" s="17">
        <v>35006404</v>
      </c>
      <c r="G14" s="20">
        <f t="shared" si="0"/>
        <v>0.34289009010590338</v>
      </c>
      <c r="H14" s="17">
        <v>102092201</v>
      </c>
      <c r="I14" s="21">
        <f t="shared" si="1"/>
        <v>2.9163864131831421</v>
      </c>
      <c r="J14" s="17">
        <v>204423683</v>
      </c>
      <c r="K14" s="17">
        <f t="shared" si="2"/>
        <v>306515884</v>
      </c>
      <c r="L14" s="13">
        <v>43041</v>
      </c>
    </row>
    <row r="15" spans="1:12" ht="15" customHeight="1">
      <c r="A15" s="22" t="s">
        <v>56</v>
      </c>
      <c r="B15" s="13">
        <v>42986</v>
      </c>
      <c r="C15" s="14">
        <v>0.85</v>
      </c>
      <c r="D15" s="15">
        <v>72</v>
      </c>
      <c r="E15" s="17">
        <v>35000000</v>
      </c>
      <c r="F15" s="17">
        <v>123403419</v>
      </c>
      <c r="G15" s="20">
        <f t="shared" si="0"/>
        <v>0.37682533378928951</v>
      </c>
      <c r="H15" s="17">
        <v>327481748</v>
      </c>
      <c r="I15" s="21">
        <f t="shared" si="1"/>
        <v>2.6537493908495353</v>
      </c>
      <c r="J15" s="17">
        <v>372900000</v>
      </c>
      <c r="K15" s="17">
        <f t="shared" si="2"/>
        <v>700381748</v>
      </c>
      <c r="L15" s="13">
        <v>43083</v>
      </c>
    </row>
    <row r="16" spans="1:12" ht="15" customHeight="1">
      <c r="A16" s="12" t="s">
        <v>57</v>
      </c>
      <c r="B16" s="13">
        <v>43000</v>
      </c>
      <c r="C16" s="14">
        <v>0.54</v>
      </c>
      <c r="D16" s="15">
        <v>58</v>
      </c>
      <c r="E16" s="17">
        <v>70000000</v>
      </c>
      <c r="F16" s="17">
        <v>20433071</v>
      </c>
      <c r="G16" s="20">
        <f t="shared" si="0"/>
        <v>0.34467839111170412</v>
      </c>
      <c r="H16" s="17">
        <v>59281555</v>
      </c>
      <c r="I16" s="21">
        <f t="shared" si="1"/>
        <v>2.9012552738646091</v>
      </c>
      <c r="J16" s="17">
        <v>63800000</v>
      </c>
      <c r="K16" s="17">
        <f t="shared" si="2"/>
        <v>123081555</v>
      </c>
      <c r="L16" s="13">
        <v>43069</v>
      </c>
    </row>
    <row r="17" spans="1:12" ht="15" customHeight="1">
      <c r="A17" s="12" t="s">
        <v>58</v>
      </c>
      <c r="B17" s="13">
        <v>43014</v>
      </c>
      <c r="C17" s="14">
        <v>0.87</v>
      </c>
      <c r="D17" s="15">
        <v>82</v>
      </c>
      <c r="E17" s="17">
        <v>150000000</v>
      </c>
      <c r="F17" s="17">
        <v>32753122</v>
      </c>
      <c r="G17" s="20">
        <f t="shared" si="0"/>
        <v>0.35580273999352924</v>
      </c>
      <c r="H17" s="17">
        <v>92054159</v>
      </c>
      <c r="I17" s="21">
        <f t="shared" si="1"/>
        <v>2.8105460908428821</v>
      </c>
      <c r="J17" s="17">
        <v>167185499</v>
      </c>
      <c r="K17" s="17">
        <f t="shared" si="2"/>
        <v>259239658</v>
      </c>
      <c r="L17" s="13">
        <v>43132</v>
      </c>
    </row>
    <row r="18" spans="1:12" ht="15" customHeight="1">
      <c r="A18" s="12" t="s">
        <v>59</v>
      </c>
      <c r="B18" s="13">
        <v>43028</v>
      </c>
      <c r="C18" s="14">
        <v>0.15</v>
      </c>
      <c r="D18" s="15">
        <v>36</v>
      </c>
      <c r="E18" s="17">
        <v>120000000</v>
      </c>
      <c r="F18" s="17">
        <v>13707376</v>
      </c>
      <c r="G18" s="20">
        <f t="shared" si="0"/>
        <v>0.40674513118038608</v>
      </c>
      <c r="H18" s="17">
        <v>33700160</v>
      </c>
      <c r="I18" s="21">
        <f t="shared" si="1"/>
        <v>2.4585420287588229</v>
      </c>
      <c r="J18" s="17">
        <v>186700000</v>
      </c>
      <c r="K18" s="17">
        <f t="shared" si="2"/>
        <v>220400160</v>
      </c>
      <c r="L18" s="13">
        <v>43111</v>
      </c>
    </row>
    <row r="19" spans="1:12" ht="15" customHeight="1">
      <c r="A19" s="12" t="s">
        <v>41</v>
      </c>
      <c r="B19" s="13">
        <v>43056</v>
      </c>
      <c r="C19" s="14">
        <v>0.4</v>
      </c>
      <c r="D19" s="15">
        <v>53</v>
      </c>
      <c r="E19" s="17">
        <v>300000000</v>
      </c>
      <c r="F19" s="17">
        <v>93842239</v>
      </c>
      <c r="G19" s="20">
        <f t="shared" si="0"/>
        <v>0.40974796582170464</v>
      </c>
      <c r="H19" s="17">
        <v>229024295</v>
      </c>
      <c r="I19" s="21">
        <f t="shared" si="1"/>
        <v>2.4405246234587392</v>
      </c>
      <c r="J19" s="17">
        <v>428900000</v>
      </c>
      <c r="K19" s="17">
        <f t="shared" si="2"/>
        <v>657924295</v>
      </c>
      <c r="L19" s="13">
        <v>43174</v>
      </c>
    </row>
    <row r="20" spans="1:12" ht="15" customHeight="1" thickBot="1">
      <c r="A20" s="50" t="s">
        <v>89</v>
      </c>
      <c r="B20" s="27">
        <v>43091</v>
      </c>
      <c r="C20" s="28">
        <v>0.22</v>
      </c>
      <c r="D20" s="29">
        <v>36</v>
      </c>
      <c r="E20" s="31">
        <v>25000000</v>
      </c>
      <c r="F20" s="31">
        <v>3287451</v>
      </c>
      <c r="G20" s="32">
        <f t="shared" si="0"/>
        <v>0.18784099004619328</v>
      </c>
      <c r="H20" s="31">
        <v>17501244</v>
      </c>
      <c r="I20" s="33">
        <f t="shared" si="1"/>
        <v>5.3236516681161179</v>
      </c>
      <c r="J20" s="31">
        <v>7800000</v>
      </c>
      <c r="K20" s="31">
        <f t="shared" si="2"/>
        <v>25301244</v>
      </c>
      <c r="L20" s="27">
        <v>43146</v>
      </c>
    </row>
    <row r="21" spans="1:12" ht="15" customHeight="1" thickTop="1">
      <c r="A21" s="83" t="s">
        <v>110</v>
      </c>
      <c r="B21" s="35">
        <v>43112</v>
      </c>
      <c r="C21" s="36">
        <v>1</v>
      </c>
      <c r="D21" s="43">
        <v>87</v>
      </c>
      <c r="E21" s="39">
        <v>50000000</v>
      </c>
      <c r="F21" s="39">
        <v>11001961</v>
      </c>
      <c r="G21" s="40">
        <f t="shared" si="0"/>
        <v>0.27204260060790192</v>
      </c>
      <c r="H21" s="39">
        <v>40442052</v>
      </c>
      <c r="I21" s="41">
        <f t="shared" si="1"/>
        <v>3.6758948700145364</v>
      </c>
      <c r="J21" s="39">
        <v>177377337</v>
      </c>
      <c r="K21" s="39">
        <f t="shared" si="2"/>
        <v>217819389</v>
      </c>
      <c r="L21" s="35">
        <v>43174</v>
      </c>
    </row>
    <row r="22" spans="1:12" ht="15" customHeight="1">
      <c r="A22" s="12" t="s">
        <v>111</v>
      </c>
      <c r="B22" s="13">
        <v>43119</v>
      </c>
      <c r="C22" s="14">
        <v>0.54</v>
      </c>
      <c r="D22" s="24">
        <v>56</v>
      </c>
      <c r="E22" s="17">
        <v>35000000</v>
      </c>
      <c r="F22" s="17">
        <v>15815025</v>
      </c>
      <c r="G22" s="20">
        <f t="shared" si="0"/>
        <v>0.34758171421096418</v>
      </c>
      <c r="H22" s="17">
        <v>45500164</v>
      </c>
      <c r="I22" s="21">
        <f t="shared" si="1"/>
        <v>2.8770213135926119</v>
      </c>
      <c r="J22" s="17">
        <v>16878486</v>
      </c>
      <c r="K22" s="17">
        <f t="shared" si="2"/>
        <v>62378650</v>
      </c>
      <c r="L22" s="13">
        <v>43188</v>
      </c>
    </row>
    <row r="23" spans="1:12" ht="15" customHeight="1">
      <c r="A23" s="12" t="s">
        <v>112</v>
      </c>
      <c r="B23" s="13">
        <v>43140</v>
      </c>
      <c r="C23" s="14">
        <v>0.25</v>
      </c>
      <c r="D23" s="24">
        <v>43</v>
      </c>
      <c r="E23" s="17">
        <v>30000000</v>
      </c>
      <c r="F23" s="17">
        <v>12554286</v>
      </c>
      <c r="G23" s="20">
        <f t="shared" si="0"/>
        <v>0.34631598829239185</v>
      </c>
      <c r="H23" s="17">
        <v>36250957</v>
      </c>
      <c r="I23" s="21">
        <f t="shared" si="1"/>
        <v>2.88753633619626</v>
      </c>
      <c r="J23" s="17">
        <v>19900000</v>
      </c>
      <c r="K23" s="17">
        <f t="shared" si="2"/>
        <v>56150957</v>
      </c>
      <c r="L23" s="13">
        <v>43202</v>
      </c>
    </row>
    <row r="24" spans="1:12" ht="15" customHeight="1">
      <c r="A24" s="22" t="s">
        <v>113</v>
      </c>
      <c r="B24" s="13">
        <v>43154</v>
      </c>
      <c r="C24" s="14">
        <v>0.82</v>
      </c>
      <c r="D24" s="24">
        <v>68</v>
      </c>
      <c r="E24" s="17">
        <v>37000000</v>
      </c>
      <c r="F24" s="17">
        <v>17005332</v>
      </c>
      <c r="G24" s="20">
        <f t="shared" si="0"/>
        <v>0.24645046877790042</v>
      </c>
      <c r="H24" s="17">
        <v>69001013</v>
      </c>
      <c r="I24" s="21">
        <f t="shared" si="1"/>
        <v>4.0576104600604097</v>
      </c>
      <c r="J24" s="17">
        <v>48400000</v>
      </c>
      <c r="K24" s="17">
        <f t="shared" si="2"/>
        <v>117401013</v>
      </c>
      <c r="L24" s="13">
        <v>43272</v>
      </c>
    </row>
    <row r="25" spans="1:12" ht="15" customHeight="1">
      <c r="A25" s="22" t="s">
        <v>114</v>
      </c>
      <c r="B25" s="13">
        <v>43175</v>
      </c>
      <c r="C25" s="14">
        <v>0.49</v>
      </c>
      <c r="D25" s="24">
        <v>54</v>
      </c>
      <c r="E25" s="17">
        <v>94000000</v>
      </c>
      <c r="F25" s="17">
        <v>23633317</v>
      </c>
      <c r="G25" s="20">
        <f t="shared" si="0"/>
        <v>0.41157455850979024</v>
      </c>
      <c r="H25" s="17">
        <v>57421715</v>
      </c>
      <c r="I25" s="21">
        <f t="shared" si="1"/>
        <v>2.4296934281379121</v>
      </c>
      <c r="J25" s="17">
        <v>216100000</v>
      </c>
      <c r="K25" s="17">
        <f t="shared" si="2"/>
        <v>273521715</v>
      </c>
      <c r="L25" s="13">
        <v>43251</v>
      </c>
    </row>
    <row r="26" spans="1:12" ht="15" customHeight="1">
      <c r="A26" s="22" t="s">
        <v>115</v>
      </c>
      <c r="B26" s="13">
        <v>43188</v>
      </c>
      <c r="C26" s="14">
        <v>0.74</v>
      </c>
      <c r="D26" s="24">
        <v>69</v>
      </c>
      <c r="E26" s="17">
        <v>175000000</v>
      </c>
      <c r="F26" s="17">
        <v>41764050</v>
      </c>
      <c r="G26" s="20">
        <f t="shared" si="0"/>
        <v>0.3048060204736654</v>
      </c>
      <c r="H26" s="17">
        <v>137018455</v>
      </c>
      <c r="I26" s="21">
        <f t="shared" si="1"/>
        <v>3.2807750924539167</v>
      </c>
      <c r="J26" s="17">
        <v>445000000</v>
      </c>
      <c r="K26" s="17">
        <f t="shared" si="2"/>
        <v>582018455</v>
      </c>
      <c r="L26" s="13">
        <v>43286</v>
      </c>
    </row>
    <row r="27" spans="1:12" ht="15" customHeight="1">
      <c r="A27" s="22" t="s">
        <v>116</v>
      </c>
      <c r="B27" s="13">
        <v>43203</v>
      </c>
      <c r="C27" s="14">
        <v>0.5</v>
      </c>
      <c r="D27" s="24">
        <v>54</v>
      </c>
      <c r="E27" s="17">
        <v>120000000</v>
      </c>
      <c r="F27" s="17">
        <v>35753093</v>
      </c>
      <c r="G27" s="20">
        <f t="shared" si="0"/>
        <v>0.35389209469792471</v>
      </c>
      <c r="H27" s="17">
        <v>101028233</v>
      </c>
      <c r="I27" s="21">
        <f t="shared" si="1"/>
        <v>2.8257200852524842</v>
      </c>
      <c r="J27" s="17">
        <v>327000000</v>
      </c>
      <c r="K27" s="17">
        <f t="shared" si="2"/>
        <v>428028233</v>
      </c>
      <c r="L27" s="13">
        <v>43307</v>
      </c>
    </row>
    <row r="28" spans="1:12" ht="15" customHeight="1">
      <c r="A28" s="25" t="s">
        <v>117</v>
      </c>
      <c r="B28" s="13">
        <v>43231</v>
      </c>
      <c r="C28" s="14">
        <v>0.4</v>
      </c>
      <c r="D28" s="24">
        <v>50</v>
      </c>
      <c r="E28" s="17">
        <v>30000000</v>
      </c>
      <c r="F28" s="17">
        <v>17886075</v>
      </c>
      <c r="G28" s="20">
        <f t="shared" si="0"/>
        <v>0.33839212876646257</v>
      </c>
      <c r="H28" s="17">
        <v>52856061</v>
      </c>
      <c r="I28" s="21">
        <f t="shared" si="1"/>
        <v>2.955151479572796</v>
      </c>
      <c r="J28" s="17">
        <v>12700000</v>
      </c>
      <c r="K28" s="17">
        <f t="shared" si="2"/>
        <v>65556061</v>
      </c>
      <c r="L28" s="13">
        <v>43314</v>
      </c>
    </row>
    <row r="29" spans="1:12" ht="15" customHeight="1">
      <c r="A29" s="22" t="s">
        <v>118</v>
      </c>
      <c r="B29" s="13">
        <v>43259</v>
      </c>
      <c r="C29" s="14">
        <v>0.67</v>
      </c>
      <c r="D29" s="24">
        <v>63</v>
      </c>
      <c r="E29" s="17">
        <v>70000000</v>
      </c>
      <c r="F29" s="17">
        <v>41607378</v>
      </c>
      <c r="G29" s="20">
        <f t="shared" si="0"/>
        <v>0.29852235681614692</v>
      </c>
      <c r="H29" s="17">
        <v>139377762</v>
      </c>
      <c r="I29" s="21">
        <f t="shared" si="1"/>
        <v>3.3498328589703488</v>
      </c>
      <c r="J29" s="17">
        <v>156100000</v>
      </c>
      <c r="K29" s="17">
        <f t="shared" si="2"/>
        <v>295477762</v>
      </c>
      <c r="L29" s="13">
        <v>43363</v>
      </c>
    </row>
    <row r="30" spans="1:12" ht="15" customHeight="1">
      <c r="A30" s="25" t="s">
        <v>119</v>
      </c>
      <c r="B30" s="13">
        <v>43266</v>
      </c>
      <c r="C30" s="14">
        <v>0.56000000000000005</v>
      </c>
      <c r="D30" s="24">
        <v>55</v>
      </c>
      <c r="E30" s="17">
        <v>28000000</v>
      </c>
      <c r="F30" s="17">
        <v>14947396</v>
      </c>
      <c r="G30" s="20">
        <f t="shared" si="0"/>
        <v>0.27402546809228734</v>
      </c>
      <c r="H30" s="17">
        <v>54547470</v>
      </c>
      <c r="I30" s="21">
        <f t="shared" si="1"/>
        <v>3.6492958372147228</v>
      </c>
      <c r="J30" s="17">
        <v>23200000</v>
      </c>
      <c r="K30" s="17">
        <f t="shared" si="2"/>
        <v>77747470</v>
      </c>
      <c r="L30" s="13">
        <v>43356</v>
      </c>
    </row>
    <row r="31" spans="1:12" ht="15" customHeight="1">
      <c r="A31" s="22" t="s">
        <v>121</v>
      </c>
      <c r="B31" s="13">
        <v>43308</v>
      </c>
      <c r="C31" s="14">
        <v>0.91</v>
      </c>
      <c r="D31" s="24">
        <v>72</v>
      </c>
      <c r="E31" s="17">
        <v>10000000</v>
      </c>
      <c r="F31" s="17">
        <v>10411189</v>
      </c>
      <c r="G31" s="20">
        <f t="shared" si="0"/>
        <v>0.35217742059060886</v>
      </c>
      <c r="H31" s="17">
        <v>29562341</v>
      </c>
      <c r="I31" s="21">
        <f t="shared" si="1"/>
        <v>2.8394778924866313</v>
      </c>
      <c r="J31" s="17">
        <v>22300000</v>
      </c>
      <c r="K31" s="17">
        <f t="shared" si="2"/>
        <v>51862341</v>
      </c>
      <c r="L31" s="13">
        <v>43384</v>
      </c>
    </row>
    <row r="32" spans="1:12" ht="15" customHeight="1">
      <c r="A32" s="22" t="s">
        <v>122</v>
      </c>
      <c r="B32" s="13">
        <v>43322</v>
      </c>
      <c r="C32" s="14">
        <v>0.46</v>
      </c>
      <c r="D32" s="24">
        <v>54</v>
      </c>
      <c r="E32" s="17">
        <v>130000000</v>
      </c>
      <c r="F32" s="17">
        <v>45402195</v>
      </c>
      <c r="G32" s="20">
        <f t="shared" si="0"/>
        <v>0.31748486579458673</v>
      </c>
      <c r="H32" s="17">
        <v>143005856</v>
      </c>
      <c r="I32" s="21">
        <f t="shared" si="1"/>
        <v>3.1497564379871941</v>
      </c>
      <c r="J32" s="17">
        <v>384800000</v>
      </c>
      <c r="K32" s="17">
        <f t="shared" si="2"/>
        <v>527805856</v>
      </c>
      <c r="L32" s="13">
        <v>43405</v>
      </c>
    </row>
    <row r="33" spans="1:12" ht="15" customHeight="1">
      <c r="A33" s="22" t="s">
        <v>123</v>
      </c>
      <c r="B33" s="13">
        <v>43327</v>
      </c>
      <c r="C33" s="14">
        <v>0.91</v>
      </c>
      <c r="D33" s="24">
        <v>76</v>
      </c>
      <c r="E33" s="17">
        <v>30000000</v>
      </c>
      <c r="F33" s="17">
        <v>26510140</v>
      </c>
      <c r="G33" s="20">
        <f t="shared" si="0"/>
        <v>0.15189191728476256</v>
      </c>
      <c r="H33" s="17">
        <v>174532921</v>
      </c>
      <c r="I33" s="21">
        <f t="shared" si="1"/>
        <v>6.5836287926053956</v>
      </c>
      <c r="J33" s="17">
        <v>64000000</v>
      </c>
      <c r="K33" s="17">
        <f t="shared" si="2"/>
        <v>238532921</v>
      </c>
      <c r="L33" s="13">
        <v>43475</v>
      </c>
    </row>
    <row r="34" spans="1:12" ht="15" customHeight="1">
      <c r="A34" s="22" t="s">
        <v>120</v>
      </c>
      <c r="B34" s="13">
        <v>43350</v>
      </c>
      <c r="C34" s="14">
        <v>0.26</v>
      </c>
      <c r="D34" s="24">
        <v>45</v>
      </c>
      <c r="E34" s="17">
        <v>22000000</v>
      </c>
      <c r="F34" s="18">
        <v>53807379</v>
      </c>
      <c r="G34" s="20">
        <f t="shared" si="0"/>
        <v>0.45812962522413453</v>
      </c>
      <c r="H34" s="17">
        <v>117450119</v>
      </c>
      <c r="I34" s="21">
        <f t="shared" si="1"/>
        <v>2.1827883309462073</v>
      </c>
      <c r="J34" s="17">
        <v>248100000</v>
      </c>
      <c r="K34" s="17">
        <f t="shared" si="2"/>
        <v>365550119</v>
      </c>
      <c r="L34" s="13">
        <v>43426</v>
      </c>
    </row>
    <row r="35" spans="1:12" ht="15" customHeight="1">
      <c r="A35" s="22" t="s">
        <v>124</v>
      </c>
      <c r="B35" s="13">
        <v>43371</v>
      </c>
      <c r="C35" s="14">
        <v>0.76</v>
      </c>
      <c r="D35" s="24">
        <v>63</v>
      </c>
      <c r="E35" s="17">
        <v>80000000</v>
      </c>
      <c r="F35" s="17">
        <v>23045635</v>
      </c>
      <c r="G35" s="20">
        <f t="shared" si="0"/>
        <v>0.27685735804531619</v>
      </c>
      <c r="H35" s="17">
        <v>83240103</v>
      </c>
      <c r="I35" s="21">
        <f t="shared" si="1"/>
        <v>3.6119682968162952</v>
      </c>
      <c r="J35" s="17">
        <v>130900000</v>
      </c>
      <c r="K35" s="17">
        <f t="shared" si="2"/>
        <v>214140103</v>
      </c>
      <c r="L35" s="13">
        <v>43482</v>
      </c>
    </row>
    <row r="36" spans="1:12" ht="15" customHeight="1">
      <c r="A36" s="22" t="s">
        <v>226</v>
      </c>
      <c r="B36" s="13">
        <v>43378</v>
      </c>
      <c r="C36" s="14">
        <v>0.89</v>
      </c>
      <c r="D36" s="24">
        <v>80</v>
      </c>
      <c r="E36" s="17">
        <v>36000000</v>
      </c>
      <c r="F36" s="17">
        <v>42908051</v>
      </c>
      <c r="G36" s="20">
        <f t="shared" si="0"/>
        <v>0.19930455205240385</v>
      </c>
      <c r="H36" s="17">
        <v>215288866</v>
      </c>
      <c r="I36" s="21">
        <f t="shared" si="1"/>
        <v>5.0174468656243558</v>
      </c>
      <c r="J36" s="17">
        <v>218600000</v>
      </c>
      <c r="K36" s="17">
        <f t="shared" si="2"/>
        <v>433888866</v>
      </c>
      <c r="L36" s="13">
        <v>43559</v>
      </c>
    </row>
    <row r="37" spans="1:12" ht="15" customHeight="1">
      <c r="A37" s="22" t="s">
        <v>125</v>
      </c>
      <c r="B37" s="13">
        <v>43420</v>
      </c>
      <c r="C37" s="14">
        <v>0.37</v>
      </c>
      <c r="D37" s="24">
        <v>53</v>
      </c>
      <c r="E37" s="17">
        <v>200000000</v>
      </c>
      <c r="F37" s="17">
        <v>62163104</v>
      </c>
      <c r="G37" s="20">
        <f t="shared" si="0"/>
        <v>0.38960078323897279</v>
      </c>
      <c r="H37" s="17">
        <v>159555901</v>
      </c>
      <c r="I37" s="21">
        <f t="shared" si="1"/>
        <v>2.5667299528672185</v>
      </c>
      <c r="J37" s="17">
        <v>493800000</v>
      </c>
      <c r="K37" s="17">
        <f t="shared" si="2"/>
        <v>653355901</v>
      </c>
      <c r="L37" s="13">
        <v>43517</v>
      </c>
    </row>
    <row r="38" spans="1:12" ht="15" customHeight="1">
      <c r="A38" s="84" t="s">
        <v>205</v>
      </c>
      <c r="B38" s="13">
        <v>43448</v>
      </c>
      <c r="C38" s="14">
        <v>0.7</v>
      </c>
      <c r="D38" s="24">
        <v>60</v>
      </c>
      <c r="E38" s="17">
        <v>50000000</v>
      </c>
      <c r="F38" s="17">
        <v>17509431</v>
      </c>
      <c r="G38" s="20">
        <f t="shared" si="0"/>
        <v>0.16867714489231656</v>
      </c>
      <c r="H38" s="17">
        <v>103804407</v>
      </c>
      <c r="I38" s="21">
        <f t="shared" si="1"/>
        <v>5.9284854544959229</v>
      </c>
      <c r="J38" s="17">
        <v>41800000</v>
      </c>
      <c r="K38" s="17">
        <f t="shared" si="2"/>
        <v>145604407</v>
      </c>
      <c r="L38" s="13">
        <v>43538</v>
      </c>
    </row>
    <row r="39" spans="1:12" ht="15" customHeight="1">
      <c r="A39" s="22" t="s">
        <v>126</v>
      </c>
      <c r="B39" s="13">
        <v>43455</v>
      </c>
      <c r="C39" s="14">
        <v>0.65</v>
      </c>
      <c r="D39" s="24">
        <v>60</v>
      </c>
      <c r="E39" s="17">
        <v>180000000</v>
      </c>
      <c r="F39" s="17">
        <v>67873522</v>
      </c>
      <c r="G39" s="20">
        <f t="shared" si="0"/>
        <v>0.20257015446705329</v>
      </c>
      <c r="H39" s="17">
        <v>335061807</v>
      </c>
      <c r="I39" s="21">
        <f t="shared" si="1"/>
        <v>4.9365613736679235</v>
      </c>
      <c r="J39" s="17">
        <v>812100000</v>
      </c>
      <c r="K39" s="17">
        <f t="shared" si="2"/>
        <v>1147161807</v>
      </c>
      <c r="L39" s="13">
        <v>43559</v>
      </c>
    </row>
    <row r="40" spans="1:12" ht="15" customHeight="1">
      <c r="A40" s="12" t="s">
        <v>208</v>
      </c>
      <c r="B40" s="13">
        <v>43504</v>
      </c>
      <c r="C40" s="14">
        <v>0.86</v>
      </c>
      <c r="D40" s="24">
        <v>70</v>
      </c>
      <c r="E40" s="17">
        <v>100000000</v>
      </c>
      <c r="F40" s="17">
        <v>34115335</v>
      </c>
      <c r="G40" s="20">
        <f t="shared" ref="G40:G62" si="3">E40/H40</f>
        <v>0.9451214475389359</v>
      </c>
      <c r="H40" s="17">
        <v>105806508</v>
      </c>
      <c r="I40" s="21">
        <f t="shared" ref="I40:I62" si="4">H40/E40</f>
        <v>1.05806508</v>
      </c>
      <c r="J40" s="17">
        <v>85100000</v>
      </c>
      <c r="K40" s="17">
        <f t="shared" si="2"/>
        <v>190906508</v>
      </c>
      <c r="L40" s="13">
        <v>43594</v>
      </c>
    </row>
    <row r="41" spans="1:12" ht="15" customHeight="1">
      <c r="A41" s="25" t="s">
        <v>129</v>
      </c>
      <c r="B41" s="13">
        <v>43510</v>
      </c>
      <c r="C41" s="14">
        <v>0.69</v>
      </c>
      <c r="D41" s="24">
        <v>61</v>
      </c>
      <c r="E41" s="17">
        <v>31000000</v>
      </c>
      <c r="F41" s="17">
        <v>14247758</v>
      </c>
      <c r="G41" s="20">
        <f t="shared" si="3"/>
        <v>0.63536064412616156</v>
      </c>
      <c r="H41" s="17">
        <v>48791187</v>
      </c>
      <c r="I41" s="21">
        <f t="shared" si="4"/>
        <v>1.5739092580645162</v>
      </c>
      <c r="J41" s="17">
        <v>0</v>
      </c>
      <c r="K41" s="17">
        <f t="shared" si="2"/>
        <v>48791187</v>
      </c>
      <c r="L41" s="13">
        <v>43594</v>
      </c>
    </row>
    <row r="42" spans="1:12" ht="15" customHeight="1">
      <c r="A42" s="22" t="s">
        <v>130</v>
      </c>
      <c r="B42" s="13">
        <v>43560</v>
      </c>
      <c r="C42" s="14">
        <v>0.9</v>
      </c>
      <c r="D42" s="24">
        <v>72</v>
      </c>
      <c r="E42" s="17">
        <v>100000000</v>
      </c>
      <c r="F42" s="17">
        <v>53505326</v>
      </c>
      <c r="G42" s="20">
        <f t="shared" si="3"/>
        <v>0.71239453070212411</v>
      </c>
      <c r="H42" s="17">
        <v>140371656</v>
      </c>
      <c r="I42" s="21">
        <f t="shared" si="4"/>
        <v>1.4037165599999999</v>
      </c>
      <c r="J42" s="17">
        <v>224100000</v>
      </c>
      <c r="K42" s="17">
        <f t="shared" si="2"/>
        <v>364471656</v>
      </c>
      <c r="L42" s="13">
        <v>43671</v>
      </c>
    </row>
    <row r="43" spans="1:12" ht="15" customHeight="1">
      <c r="A43" s="22" t="s">
        <v>239</v>
      </c>
      <c r="B43" s="13">
        <v>43574</v>
      </c>
      <c r="C43" s="14">
        <v>0.3</v>
      </c>
      <c r="D43" s="24">
        <v>46</v>
      </c>
      <c r="E43" s="17">
        <v>9000000</v>
      </c>
      <c r="F43" s="17">
        <v>26347631</v>
      </c>
      <c r="G43" s="20">
        <f t="shared" si="3"/>
        <v>0.16443239881711716</v>
      </c>
      <c r="H43" s="17">
        <v>54733739</v>
      </c>
      <c r="I43" s="21">
        <f t="shared" si="4"/>
        <v>6.0815265555555555</v>
      </c>
      <c r="J43" s="17">
        <v>67400000</v>
      </c>
      <c r="K43" s="17">
        <f t="shared" si="2"/>
        <v>122133739</v>
      </c>
      <c r="L43" s="13">
        <v>43650</v>
      </c>
    </row>
    <row r="44" spans="1:12" ht="15" customHeight="1">
      <c r="A44" s="25" t="s">
        <v>309</v>
      </c>
      <c r="B44" s="13">
        <v>43595</v>
      </c>
      <c r="C44" s="14">
        <v>0.67</v>
      </c>
      <c r="D44" s="24">
        <v>60</v>
      </c>
      <c r="E44" s="17">
        <v>150000000</v>
      </c>
      <c r="F44" s="17">
        <v>54365242</v>
      </c>
      <c r="G44" s="20">
        <f t="shared" si="3"/>
        <v>1.0409051722480858</v>
      </c>
      <c r="H44" s="17">
        <v>144105346</v>
      </c>
      <c r="I44" s="21">
        <f t="shared" si="4"/>
        <v>0.96070230666666667</v>
      </c>
      <c r="J44" s="17">
        <v>287200000</v>
      </c>
      <c r="K44" s="17">
        <f t="shared" si="2"/>
        <v>431305346</v>
      </c>
      <c r="L44" s="13">
        <v>43692</v>
      </c>
    </row>
    <row r="45" spans="1:12" ht="15" customHeight="1">
      <c r="A45" s="12" t="s">
        <v>181</v>
      </c>
      <c r="B45" s="13">
        <v>43602</v>
      </c>
      <c r="C45" s="14">
        <v>0.48</v>
      </c>
      <c r="D45" s="24">
        <v>56</v>
      </c>
      <c r="E45" s="17">
        <v>9000000</v>
      </c>
      <c r="F45" s="17">
        <v>2511530</v>
      </c>
      <c r="G45" s="20">
        <f t="shared" si="3"/>
        <v>1.8181711662699349</v>
      </c>
      <c r="H45" s="17">
        <v>4950029</v>
      </c>
      <c r="I45" s="21">
        <f t="shared" si="4"/>
        <v>0.5500032222222222</v>
      </c>
      <c r="J45" s="17">
        <v>1600000</v>
      </c>
      <c r="K45" s="17">
        <f t="shared" si="2"/>
        <v>6550029</v>
      </c>
      <c r="L45" s="13">
        <v>43622</v>
      </c>
    </row>
    <row r="46" spans="1:12" ht="15" customHeight="1">
      <c r="A46" s="25" t="s">
        <v>209</v>
      </c>
      <c r="B46" s="13">
        <v>43616</v>
      </c>
      <c r="C46" s="14">
        <v>0.41</v>
      </c>
      <c r="D46" s="24">
        <v>52</v>
      </c>
      <c r="E46" s="17">
        <v>170000000</v>
      </c>
      <c r="F46" s="17">
        <v>47776293</v>
      </c>
      <c r="G46" s="20">
        <f t="shared" si="3"/>
        <v>1.5384596171273559</v>
      </c>
      <c r="H46" s="17">
        <v>110500138</v>
      </c>
      <c r="I46" s="21">
        <f t="shared" si="4"/>
        <v>0.65000081176470592</v>
      </c>
      <c r="J46" s="17">
        <v>275400000</v>
      </c>
      <c r="K46" s="17">
        <f t="shared" si="2"/>
        <v>385900138</v>
      </c>
      <c r="L46" s="13">
        <v>43706</v>
      </c>
    </row>
    <row r="47" spans="1:12" ht="15" customHeight="1">
      <c r="A47" s="25" t="s">
        <v>131</v>
      </c>
      <c r="B47" s="13">
        <v>43630</v>
      </c>
      <c r="C47" s="14">
        <v>0.3</v>
      </c>
      <c r="D47" s="24">
        <v>46</v>
      </c>
      <c r="E47" s="17">
        <v>32500000</v>
      </c>
      <c r="F47" s="17">
        <v>8901419</v>
      </c>
      <c r="G47" s="20">
        <f t="shared" si="3"/>
        <v>1.5215202655965776</v>
      </c>
      <c r="H47" s="17">
        <v>21360215</v>
      </c>
      <c r="I47" s="21">
        <f t="shared" si="4"/>
        <v>0.65723738461538461</v>
      </c>
      <c r="J47" s="17">
        <v>0</v>
      </c>
      <c r="K47" s="17">
        <f t="shared" si="2"/>
        <v>21360215</v>
      </c>
      <c r="L47" s="13">
        <v>43692</v>
      </c>
    </row>
    <row r="48" spans="1:12" ht="15" customHeight="1">
      <c r="A48" s="22" t="s">
        <v>240</v>
      </c>
      <c r="B48" s="13">
        <v>43642</v>
      </c>
      <c r="C48" s="14">
        <v>0.65</v>
      </c>
      <c r="D48" s="24">
        <v>58</v>
      </c>
      <c r="E48" s="17">
        <v>29500000</v>
      </c>
      <c r="F48" s="18">
        <v>20269723</v>
      </c>
      <c r="G48" s="20">
        <f t="shared" si="3"/>
        <v>0.39782831054413192</v>
      </c>
      <c r="H48" s="17">
        <v>74152591</v>
      </c>
      <c r="I48" s="21">
        <f t="shared" si="4"/>
        <v>2.5136471525423727</v>
      </c>
      <c r="J48" s="17">
        <v>154400000</v>
      </c>
      <c r="K48" s="17">
        <f t="shared" si="2"/>
        <v>228552591</v>
      </c>
      <c r="L48" s="13">
        <v>43741</v>
      </c>
    </row>
    <row r="49" spans="1:12" ht="15" customHeight="1">
      <c r="A49" s="12" t="s">
        <v>183</v>
      </c>
      <c r="B49" s="13">
        <v>43686</v>
      </c>
      <c r="C49" s="14">
        <v>0.23</v>
      </c>
      <c r="D49" s="24">
        <v>44</v>
      </c>
      <c r="E49" s="17">
        <v>38000000</v>
      </c>
      <c r="F49" s="17">
        <v>5527410</v>
      </c>
      <c r="G49" s="20">
        <f t="shared" si="3"/>
        <v>3.1198604404323405</v>
      </c>
      <c r="H49" s="17">
        <v>12180032</v>
      </c>
      <c r="I49" s="21">
        <f t="shared" si="4"/>
        <v>0.32052715789473685</v>
      </c>
      <c r="J49" s="17">
        <v>3700000</v>
      </c>
      <c r="K49" s="17">
        <f t="shared" si="2"/>
        <v>15880032</v>
      </c>
      <c r="L49" s="13">
        <v>43741</v>
      </c>
    </row>
    <row r="50" spans="1:12" ht="15" customHeight="1">
      <c r="A50" s="15" t="s">
        <v>241</v>
      </c>
      <c r="B50" s="13">
        <v>43693</v>
      </c>
      <c r="C50" s="14">
        <v>0.89</v>
      </c>
      <c r="D50" s="24">
        <v>73</v>
      </c>
      <c r="E50" s="17"/>
      <c r="F50" s="17">
        <v>4333305</v>
      </c>
      <c r="G50" s="20">
        <f t="shared" si="3"/>
        <v>0</v>
      </c>
      <c r="H50" s="17">
        <v>11901145</v>
      </c>
      <c r="I50" s="21" t="e">
        <f t="shared" si="4"/>
        <v>#DIV/0!</v>
      </c>
      <c r="J50" s="17">
        <v>6027620</v>
      </c>
      <c r="K50" s="17">
        <f t="shared" si="2"/>
        <v>17928765</v>
      </c>
      <c r="L50" s="13">
        <v>43748</v>
      </c>
    </row>
    <row r="51" spans="1:12" ht="15" customHeight="1">
      <c r="A51" s="22" t="s">
        <v>278</v>
      </c>
      <c r="B51" s="13">
        <v>43714</v>
      </c>
      <c r="C51" s="14">
        <v>0.63</v>
      </c>
      <c r="D51" s="24">
        <v>61</v>
      </c>
      <c r="E51" s="17">
        <v>70000000</v>
      </c>
      <c r="F51" s="17">
        <v>91062152</v>
      </c>
      <c r="G51" s="20">
        <f t="shared" si="3"/>
        <v>0.33121093367037358</v>
      </c>
      <c r="H51" s="17">
        <v>211345680</v>
      </c>
      <c r="I51" s="21">
        <f t="shared" si="4"/>
        <v>3.0192239999999999</v>
      </c>
      <c r="J51" s="17">
        <v>247900000</v>
      </c>
      <c r="K51" s="17">
        <f t="shared" si="2"/>
        <v>459245680</v>
      </c>
      <c r="L51" s="13"/>
    </row>
    <row r="52" spans="1:12" ht="15" customHeight="1">
      <c r="A52" s="12" t="s">
        <v>184</v>
      </c>
      <c r="B52" s="13">
        <v>43721</v>
      </c>
      <c r="C52" s="14">
        <v>0.24</v>
      </c>
      <c r="D52" s="24">
        <v>45</v>
      </c>
      <c r="E52" s="17">
        <v>45000000</v>
      </c>
      <c r="F52" s="17">
        <v>2679027</v>
      </c>
      <c r="G52" s="20">
        <f t="shared" si="3"/>
        <v>8.4386270841299247</v>
      </c>
      <c r="H52" s="17">
        <v>5332621</v>
      </c>
      <c r="I52" s="21">
        <f t="shared" si="4"/>
        <v>0.11850268888888889</v>
      </c>
      <c r="J52" s="17">
        <v>4400000</v>
      </c>
      <c r="K52" s="17">
        <f t="shared" si="2"/>
        <v>9732621</v>
      </c>
      <c r="L52" s="13">
        <v>43762</v>
      </c>
    </row>
    <row r="53" spans="1:12" ht="15" customHeight="1">
      <c r="A53" s="84" t="s">
        <v>242</v>
      </c>
      <c r="B53" s="13">
        <v>43742</v>
      </c>
      <c r="C53" s="14">
        <v>0.68</v>
      </c>
      <c r="D53" s="24">
        <v>72</v>
      </c>
      <c r="E53" s="17">
        <v>55000000</v>
      </c>
      <c r="F53" s="17">
        <v>96202337</v>
      </c>
      <c r="G53" s="20">
        <f t="shared" si="3"/>
        <v>0.1792690020913098</v>
      </c>
      <c r="H53" s="17">
        <v>306801507</v>
      </c>
      <c r="I53" s="21">
        <f t="shared" si="4"/>
        <v>5.5782092181818186</v>
      </c>
      <c r="J53" s="17">
        <v>645400000</v>
      </c>
      <c r="K53" s="17">
        <f t="shared" si="2"/>
        <v>952201507</v>
      </c>
      <c r="L53" s="13"/>
    </row>
    <row r="54" spans="1:12" ht="15" customHeight="1">
      <c r="A54" s="15" t="s">
        <v>243</v>
      </c>
      <c r="B54" s="13">
        <v>43770</v>
      </c>
      <c r="C54" s="14">
        <v>0.62</v>
      </c>
      <c r="D54" s="24">
        <v>62</v>
      </c>
      <c r="E54" s="17"/>
      <c r="F54" s="17">
        <v>3500454</v>
      </c>
      <c r="G54" s="20">
        <f t="shared" si="3"/>
        <v>0</v>
      </c>
      <c r="H54" s="17">
        <v>5792074</v>
      </c>
      <c r="I54" s="21" t="e">
        <f t="shared" si="4"/>
        <v>#DIV/0!</v>
      </c>
      <c r="J54" s="17">
        <v>145305</v>
      </c>
      <c r="K54" s="17">
        <f t="shared" si="2"/>
        <v>5937379</v>
      </c>
      <c r="L54" s="13"/>
    </row>
    <row r="55" spans="1:12" ht="15" customHeight="1">
      <c r="A55" s="15" t="s">
        <v>244</v>
      </c>
      <c r="B55" s="13">
        <v>43777</v>
      </c>
      <c r="C55" s="14">
        <v>0.77</v>
      </c>
      <c r="D55" s="24">
        <v>71</v>
      </c>
      <c r="E55" s="17"/>
      <c r="F55" s="17"/>
      <c r="G55" s="20">
        <f t="shared" si="3"/>
        <v>0</v>
      </c>
      <c r="H55" s="17">
        <v>5200000</v>
      </c>
      <c r="I55" s="21" t="e">
        <f t="shared" si="4"/>
        <v>#DIV/0!</v>
      </c>
      <c r="J55" s="17">
        <v>5600000</v>
      </c>
      <c r="K55" s="17">
        <f t="shared" si="2"/>
        <v>10800000</v>
      </c>
      <c r="L55" s="13"/>
    </row>
    <row r="56" spans="1:12" ht="15" customHeight="1">
      <c r="A56" s="15" t="s">
        <v>245</v>
      </c>
      <c r="B56" s="13">
        <v>43784</v>
      </c>
      <c r="C56" s="14">
        <v>0.63</v>
      </c>
      <c r="D56" s="24">
        <v>61</v>
      </c>
      <c r="E56" s="17"/>
      <c r="F56" s="17"/>
      <c r="G56" s="20" t="e">
        <f t="shared" si="3"/>
        <v>#DIV/0!</v>
      </c>
      <c r="H56" s="17"/>
      <c r="I56" s="21" t="e">
        <f t="shared" si="4"/>
        <v>#DIV/0!</v>
      </c>
      <c r="J56" s="17"/>
      <c r="K56" s="17">
        <f t="shared" si="2"/>
        <v>0</v>
      </c>
      <c r="L56" s="13"/>
    </row>
    <row r="57" spans="1:12" ht="15" customHeight="1">
      <c r="A57" s="15" t="s">
        <v>494</v>
      </c>
      <c r="B57" s="13">
        <v>43812</v>
      </c>
      <c r="C57" s="14">
        <v>0.77</v>
      </c>
      <c r="D57" s="24">
        <v>68</v>
      </c>
      <c r="E57" s="17"/>
      <c r="F57" s="17"/>
      <c r="G57" s="20" t="e">
        <f t="shared" si="3"/>
        <v>#DIV/0!</v>
      </c>
      <c r="H57" s="17"/>
      <c r="I57" s="21" t="e">
        <f t="shared" si="4"/>
        <v>#DIV/0!</v>
      </c>
      <c r="J57" s="17"/>
      <c r="K57" s="17">
        <f t="shared" si="2"/>
        <v>0</v>
      </c>
      <c r="L57" s="13"/>
    </row>
    <row r="58" spans="1:12" ht="15" customHeight="1">
      <c r="A58" s="15" t="s">
        <v>495</v>
      </c>
      <c r="B58" s="13">
        <v>43824</v>
      </c>
      <c r="C58" s="14">
        <v>0.84</v>
      </c>
      <c r="D58" s="24">
        <v>71</v>
      </c>
      <c r="E58" s="17"/>
      <c r="F58" s="17"/>
      <c r="G58" s="20" t="e">
        <f t="shared" si="3"/>
        <v>#DIV/0!</v>
      </c>
      <c r="H58" s="17"/>
      <c r="I58" s="21" t="e">
        <f t="shared" si="4"/>
        <v>#DIV/0!</v>
      </c>
      <c r="J58" s="17"/>
      <c r="K58" s="17">
        <f t="shared" si="2"/>
        <v>0</v>
      </c>
      <c r="L58" s="13"/>
    </row>
    <row r="59" spans="1:12" ht="15" customHeight="1">
      <c r="A59" s="123" t="s">
        <v>496</v>
      </c>
      <c r="B59" s="13">
        <v>43868</v>
      </c>
      <c r="C59" s="14">
        <v>0.78</v>
      </c>
      <c r="D59" s="24">
        <v>68</v>
      </c>
      <c r="E59" s="17"/>
      <c r="F59" s="17"/>
      <c r="G59" s="20" t="e">
        <f t="shared" si="3"/>
        <v>#DIV/0!</v>
      </c>
      <c r="H59" s="17"/>
      <c r="I59" s="21" t="e">
        <f t="shared" si="4"/>
        <v>#DIV/0!</v>
      </c>
      <c r="J59" s="17"/>
      <c r="K59" s="17">
        <f t="shared" si="2"/>
        <v>0</v>
      </c>
      <c r="L59" s="13"/>
    </row>
    <row r="60" spans="1:12" ht="15" customHeight="1">
      <c r="A60" s="123" t="s">
        <v>497</v>
      </c>
      <c r="B60" s="13">
        <v>43896</v>
      </c>
      <c r="C60" s="14">
        <v>0.84</v>
      </c>
      <c r="D60" s="24">
        <v>68</v>
      </c>
      <c r="E60" s="17"/>
      <c r="F60" s="17"/>
      <c r="G60" s="20" t="e">
        <f t="shared" si="3"/>
        <v>#DIV/0!</v>
      </c>
      <c r="H60" s="17"/>
      <c r="I60" s="21" t="e">
        <f t="shared" si="4"/>
        <v>#DIV/0!</v>
      </c>
      <c r="J60" s="17"/>
      <c r="K60" s="17">
        <f t="shared" si="2"/>
        <v>0</v>
      </c>
      <c r="L60" s="13"/>
    </row>
    <row r="61" spans="1:12" ht="15" customHeight="1">
      <c r="A61" s="123" t="s">
        <v>502</v>
      </c>
      <c r="B61" s="13">
        <v>43966</v>
      </c>
      <c r="C61" s="14">
        <v>0.48</v>
      </c>
      <c r="D61" s="24">
        <v>53</v>
      </c>
      <c r="E61" s="17">
        <v>90000000</v>
      </c>
      <c r="F61" s="17"/>
      <c r="G61" s="20" t="e">
        <f t="shared" si="3"/>
        <v>#DIV/0!</v>
      </c>
      <c r="H61" s="17"/>
      <c r="I61" s="21">
        <f t="shared" si="4"/>
        <v>0</v>
      </c>
      <c r="J61" s="17"/>
      <c r="K61" s="17">
        <f t="shared" si="2"/>
        <v>0</v>
      </c>
      <c r="L61" s="13"/>
    </row>
    <row r="62" spans="1:12" ht="15" customHeight="1">
      <c r="A62" s="123" t="s">
        <v>498</v>
      </c>
      <c r="B62" s="13">
        <v>44069</v>
      </c>
      <c r="C62" s="14">
        <v>0.7</v>
      </c>
      <c r="D62" s="24">
        <v>69</v>
      </c>
      <c r="E62" s="17">
        <v>205000000</v>
      </c>
      <c r="F62" s="17"/>
      <c r="G62" s="20" t="e">
        <f t="shared" si="3"/>
        <v>#DIV/0!</v>
      </c>
      <c r="H62" s="17"/>
      <c r="I62" s="21">
        <f t="shared" si="4"/>
        <v>0</v>
      </c>
      <c r="J62" s="17"/>
      <c r="K62" s="17">
        <f t="shared" si="2"/>
        <v>0</v>
      </c>
      <c r="L62" s="13"/>
    </row>
    <row r="63" spans="1:12" ht="15" customHeight="1">
      <c r="A63" s="123" t="s">
        <v>499</v>
      </c>
      <c r="B63" s="13">
        <v>44190</v>
      </c>
      <c r="C63" s="14">
        <v>0.79</v>
      </c>
      <c r="D63" s="24">
        <v>69</v>
      </c>
      <c r="E63" s="17">
        <v>200000000</v>
      </c>
      <c r="F63" s="17"/>
      <c r="G63" s="20" t="e">
        <f t="shared" ref="G63:G70" si="5">E63/H63</f>
        <v>#DIV/0!</v>
      </c>
      <c r="H63" s="17"/>
      <c r="I63" s="21">
        <f t="shared" ref="I63:I70" si="6">H63/E63</f>
        <v>0</v>
      </c>
      <c r="J63" s="17"/>
      <c r="K63" s="17">
        <f t="shared" ref="K63:K70" si="7">H63+J63</f>
        <v>0</v>
      </c>
      <c r="L63" s="13"/>
    </row>
    <row r="64" spans="1:12" ht="15" customHeight="1">
      <c r="A64" s="15" t="s">
        <v>500</v>
      </c>
      <c r="B64" s="13">
        <v>44225</v>
      </c>
      <c r="C64" s="14"/>
      <c r="D64" s="24"/>
      <c r="E64" s="17"/>
      <c r="F64" s="17"/>
      <c r="G64" s="20" t="e">
        <f t="shared" si="5"/>
        <v>#DIV/0!</v>
      </c>
      <c r="H64" s="17"/>
      <c r="I64" s="21" t="e">
        <f t="shared" si="6"/>
        <v>#DIV/0!</v>
      </c>
      <c r="J64" s="17"/>
      <c r="K64" s="17">
        <f t="shared" si="7"/>
        <v>0</v>
      </c>
      <c r="L64" s="13"/>
    </row>
    <row r="65" spans="1:12" ht="15" customHeight="1">
      <c r="A65" s="15" t="s">
        <v>501</v>
      </c>
      <c r="B65" s="13"/>
      <c r="C65" s="14"/>
      <c r="D65" s="24"/>
      <c r="E65" s="17"/>
      <c r="F65" s="17"/>
      <c r="G65" s="20" t="e">
        <f t="shared" si="5"/>
        <v>#DIV/0!</v>
      </c>
      <c r="H65" s="17"/>
      <c r="I65" s="21" t="e">
        <f t="shared" si="6"/>
        <v>#DIV/0!</v>
      </c>
      <c r="J65" s="17"/>
      <c r="K65" s="17">
        <f t="shared" si="7"/>
        <v>0</v>
      </c>
      <c r="L65" s="13"/>
    </row>
    <row r="66" spans="1:12" ht="15" customHeight="1">
      <c r="A66" s="15"/>
      <c r="B66" s="13"/>
      <c r="C66" s="14"/>
      <c r="D66" s="24"/>
      <c r="E66" s="17"/>
      <c r="F66" s="17"/>
      <c r="G66" s="20" t="e">
        <f t="shared" si="5"/>
        <v>#DIV/0!</v>
      </c>
      <c r="H66" s="17"/>
      <c r="I66" s="21" t="e">
        <f t="shared" si="6"/>
        <v>#DIV/0!</v>
      </c>
      <c r="J66" s="17"/>
      <c r="K66" s="17">
        <f t="shared" si="7"/>
        <v>0</v>
      </c>
      <c r="L66" s="13"/>
    </row>
    <row r="67" spans="1:12" ht="15" customHeight="1">
      <c r="A67" s="15"/>
      <c r="B67" s="13"/>
      <c r="C67" s="14"/>
      <c r="D67" s="24"/>
      <c r="E67" s="17"/>
      <c r="F67" s="17"/>
      <c r="G67" s="20" t="e">
        <f t="shared" si="5"/>
        <v>#DIV/0!</v>
      </c>
      <c r="H67" s="17"/>
      <c r="I67" s="21" t="e">
        <f t="shared" si="6"/>
        <v>#DIV/0!</v>
      </c>
      <c r="J67" s="17"/>
      <c r="K67" s="17">
        <f t="shared" si="7"/>
        <v>0</v>
      </c>
      <c r="L67" s="13"/>
    </row>
    <row r="68" spans="1:12" ht="15" customHeight="1">
      <c r="A68" s="15"/>
      <c r="B68" s="13"/>
      <c r="C68" s="14"/>
      <c r="D68" s="24"/>
      <c r="E68" s="17"/>
      <c r="F68" s="17"/>
      <c r="G68" s="20" t="e">
        <f t="shared" si="5"/>
        <v>#DIV/0!</v>
      </c>
      <c r="H68" s="17"/>
      <c r="I68" s="21" t="e">
        <f t="shared" si="6"/>
        <v>#DIV/0!</v>
      </c>
      <c r="J68" s="17"/>
      <c r="K68" s="17">
        <f t="shared" si="7"/>
        <v>0</v>
      </c>
      <c r="L68" s="13"/>
    </row>
    <row r="69" spans="1:12" ht="15" customHeight="1">
      <c r="A69" s="15"/>
      <c r="B69" s="13"/>
      <c r="C69" s="14"/>
      <c r="D69" s="24"/>
      <c r="E69" s="17"/>
      <c r="F69" s="17"/>
      <c r="G69" s="20" t="e">
        <f t="shared" si="5"/>
        <v>#DIV/0!</v>
      </c>
      <c r="H69" s="17"/>
      <c r="I69" s="21" t="e">
        <f t="shared" si="6"/>
        <v>#DIV/0!</v>
      </c>
      <c r="J69" s="17"/>
      <c r="K69" s="17">
        <f t="shared" si="7"/>
        <v>0</v>
      </c>
      <c r="L69" s="13"/>
    </row>
    <row r="70" spans="1:12" ht="15" customHeight="1">
      <c r="A70" s="15"/>
      <c r="B70" s="13"/>
      <c r="C70" s="14"/>
      <c r="D70" s="24"/>
      <c r="E70" s="17"/>
      <c r="F70" s="17"/>
      <c r="G70" s="20" t="e">
        <f t="shared" si="5"/>
        <v>#DIV/0!</v>
      </c>
      <c r="H70" s="17"/>
      <c r="I70" s="21" t="e">
        <f t="shared" si="6"/>
        <v>#DIV/0!</v>
      </c>
      <c r="J70" s="17"/>
      <c r="K70" s="17">
        <f t="shared" si="7"/>
        <v>0</v>
      </c>
      <c r="L70" s="13"/>
    </row>
  </sheetData>
  <mergeCells count="1">
    <mergeCell ref="A1:L1"/>
  </mergeCells>
  <conditionalFormatting sqref="D3:D20">
    <cfRule type="cellIs" dxfId="300" priority="25" operator="between">
      <formula>40</formula>
      <formula>1</formula>
    </cfRule>
    <cfRule type="cellIs" dxfId="299" priority="26" operator="between">
      <formula>40</formula>
      <formula>59</formula>
    </cfRule>
    <cfRule type="cellIs" dxfId="298" priority="27" operator="greaterThan">
      <formula>60</formula>
    </cfRule>
  </conditionalFormatting>
  <conditionalFormatting sqref="C3:C20">
    <cfRule type="cellIs" dxfId="297" priority="21" operator="between">
      <formula>0.39</formula>
      <formula>0.01</formula>
    </cfRule>
    <cfRule type="cellIs" dxfId="296" priority="22" operator="between">
      <formula>0.4</formula>
      <formula>0.59</formula>
    </cfRule>
    <cfRule type="cellIs" dxfId="295" priority="23" operator="between">
      <formula>0.6</formula>
      <formula>0.74</formula>
    </cfRule>
    <cfRule type="cellIs" dxfId="294" priority="24" operator="greaterThan">
      <formula>0.74</formula>
    </cfRule>
  </conditionalFormatting>
  <conditionalFormatting sqref="D2">
    <cfRule type="cellIs" dxfId="293" priority="17" operator="between">
      <formula>40</formula>
      <formula>59</formula>
    </cfRule>
    <cfRule type="cellIs" dxfId="292" priority="18" operator="between">
      <formula>60</formula>
      <formula>100</formula>
    </cfRule>
    <cfRule type="cellIs" dxfId="291" priority="20" operator="between">
      <formula>1</formula>
      <formula>39</formula>
    </cfRule>
  </conditionalFormatting>
  <conditionalFormatting sqref="C2">
    <cfRule type="cellIs" dxfId="290" priority="19" operator="between">
      <formula>0.01</formula>
      <formula>0.39</formula>
    </cfRule>
  </conditionalFormatting>
  <conditionalFormatting sqref="C21:D39">
    <cfRule type="cellIs" dxfId="289" priority="16" operator="between">
      <formula>0.005</formula>
      <formula>0.394999999999999</formula>
    </cfRule>
  </conditionalFormatting>
  <conditionalFormatting sqref="C21:D39">
    <cfRule type="cellIs" dxfId="288" priority="13" operator="between">
      <formula>0.745</formula>
      <formula>1</formula>
    </cfRule>
  </conditionalFormatting>
  <conditionalFormatting sqref="C21:D39">
    <cfRule type="cellIs" dxfId="287" priority="14" operator="between">
      <formula>0.595</formula>
      <formula>0.744999999999999</formula>
    </cfRule>
  </conditionalFormatting>
  <conditionalFormatting sqref="C21:D39">
    <cfRule type="cellIs" dxfId="286" priority="15" operator="between">
      <formula>0.395</formula>
      <formula>0.594999999999999</formula>
    </cfRule>
  </conditionalFormatting>
  <conditionalFormatting sqref="D21:D39">
    <cfRule type="cellIs" dxfId="285" priority="9" operator="between">
      <formula>40</formula>
      <formula>59</formula>
    </cfRule>
    <cfRule type="cellIs" dxfId="284" priority="10" operator="between">
      <formula>1</formula>
      <formula>39</formula>
    </cfRule>
  </conditionalFormatting>
  <conditionalFormatting sqref="D2:D39">
    <cfRule type="cellIs" dxfId="283" priority="11" operator="between">
      <formula>60</formula>
      <formula>69</formula>
    </cfRule>
    <cfRule type="cellIs" dxfId="282" priority="12" operator="between">
      <formula>70</formula>
      <formula>100</formula>
    </cfRule>
  </conditionalFormatting>
  <conditionalFormatting sqref="C40:D70">
    <cfRule type="cellIs" dxfId="281" priority="8" operator="between">
      <formula>0.005</formula>
      <formula>0.394999999999999</formula>
    </cfRule>
  </conditionalFormatting>
  <conditionalFormatting sqref="C40:D70">
    <cfRule type="cellIs" dxfId="280" priority="5" operator="between">
      <formula>0.745</formula>
      <formula>1</formula>
    </cfRule>
  </conditionalFormatting>
  <conditionalFormatting sqref="C40:D70">
    <cfRule type="cellIs" dxfId="279" priority="6" operator="between">
      <formula>0.595</formula>
      <formula>0.744999999999999</formula>
    </cfRule>
  </conditionalFormatting>
  <conditionalFormatting sqref="C40:D70">
    <cfRule type="cellIs" dxfId="278" priority="7" operator="between">
      <formula>0.395</formula>
      <formula>0.594999999999999</formula>
    </cfRule>
  </conditionalFormatting>
  <conditionalFormatting sqref="D40:D70">
    <cfRule type="cellIs" dxfId="277" priority="1" operator="between">
      <formula>40</formula>
      <formula>59</formula>
    </cfRule>
    <cfRule type="cellIs" dxfId="276" priority="2" operator="between">
      <formula>1</formula>
      <formula>39</formula>
    </cfRule>
    <cfRule type="cellIs" dxfId="275" priority="3" operator="between">
      <formula>60</formula>
      <formula>70</formula>
    </cfRule>
    <cfRule type="cellIs" dxfId="274" priority="4" operator="between">
      <formula>71</formula>
      <formula>100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78252-D29D-4AB7-9714-D5549D6A53C8}">
  <sheetPr codeName="Sheet1"/>
  <dimension ref="A1:L55"/>
  <sheetViews>
    <sheetView zoomScaleNormal="100" workbookViewId="0">
      <selection activeCell="A3" sqref="A3:A5"/>
    </sheetView>
  </sheetViews>
  <sheetFormatPr defaultColWidth="9.140625" defaultRowHeight="15" customHeight="1"/>
  <cols>
    <col min="1" max="1" width="27.42578125" style="1" bestFit="1" customWidth="1"/>
    <col min="2" max="2" width="20.28515625" style="44" bestFit="1" customWidth="1"/>
    <col min="3" max="3" width="6.7109375" style="44" bestFit="1" customWidth="1"/>
    <col min="4" max="4" width="6.42578125" style="1" bestFit="1" customWidth="1"/>
    <col min="5" max="5" width="8.28515625" style="1" bestFit="1" customWidth="1"/>
    <col min="6" max="6" width="15.28515625" style="45" bestFit="1" customWidth="1"/>
    <col min="7" max="8" width="14" style="45" bestFit="1" customWidth="1"/>
    <col min="9" max="9" width="8.28515625" style="48" bestFit="1" customWidth="1"/>
    <col min="10" max="10" width="14.7109375" style="48" bestFit="1" customWidth="1"/>
    <col min="11" max="11" width="15.28515625" style="45" bestFit="1" customWidth="1"/>
    <col min="12" max="12" width="12.7109375" style="49" bestFit="1" customWidth="1"/>
    <col min="13" max="16384" width="9.140625" style="1"/>
  </cols>
  <sheetData>
    <row r="1" spans="1:12" ht="15" customHeight="1">
      <c r="A1" s="136" t="s">
        <v>281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</row>
    <row r="2" spans="1:12" s="11" customFormat="1" ht="15" customHeight="1">
      <c r="A2" s="2" t="s">
        <v>19</v>
      </c>
      <c r="B2" s="3" t="s">
        <v>2</v>
      </c>
      <c r="C2" s="4" t="s">
        <v>92</v>
      </c>
      <c r="D2" s="5" t="s">
        <v>93</v>
      </c>
      <c r="E2" s="5" t="s">
        <v>230</v>
      </c>
      <c r="F2" s="6" t="s">
        <v>9</v>
      </c>
      <c r="G2" s="6" t="s">
        <v>0</v>
      </c>
      <c r="H2" s="6" t="s">
        <v>270</v>
      </c>
      <c r="I2" s="9" t="s">
        <v>269</v>
      </c>
      <c r="J2" s="6" t="s">
        <v>271</v>
      </c>
      <c r="K2" s="6" t="s">
        <v>225</v>
      </c>
      <c r="L2" s="10" t="s">
        <v>31</v>
      </c>
    </row>
    <row r="3" spans="1:12" ht="15" customHeight="1">
      <c r="A3" s="12" t="s">
        <v>279</v>
      </c>
      <c r="B3" s="13">
        <v>43490</v>
      </c>
      <c r="C3" s="14">
        <v>0.9</v>
      </c>
      <c r="D3" s="24">
        <v>69</v>
      </c>
      <c r="E3" s="16">
        <f>K3/F3</f>
        <v>0.5447622033898305</v>
      </c>
      <c r="F3" s="17">
        <v>59000000</v>
      </c>
      <c r="G3" s="17">
        <v>7173887</v>
      </c>
      <c r="H3" s="17">
        <v>16790790</v>
      </c>
      <c r="I3" s="21">
        <f>H3/G3</f>
        <v>2.3405428605162029</v>
      </c>
      <c r="J3" s="17">
        <v>15350180</v>
      </c>
      <c r="K3" s="17">
        <f>H3+J3</f>
        <v>32140970</v>
      </c>
      <c r="L3" s="13">
        <v>43559</v>
      </c>
    </row>
    <row r="4" spans="1:12" ht="15" customHeight="1">
      <c r="A4" s="25" t="s">
        <v>280</v>
      </c>
      <c r="B4" s="13">
        <v>43510</v>
      </c>
      <c r="C4" s="14">
        <v>0.6</v>
      </c>
      <c r="D4" s="24">
        <v>60</v>
      </c>
      <c r="E4" s="16">
        <f>K4/F4</f>
        <v>2.3814855470588236</v>
      </c>
      <c r="F4" s="17">
        <v>170000000</v>
      </c>
      <c r="G4" s="17">
        <v>28525613</v>
      </c>
      <c r="H4" s="17">
        <v>85710210</v>
      </c>
      <c r="I4" s="21">
        <f>H4/G4</f>
        <v>3.0046754823463391</v>
      </c>
      <c r="J4" s="17">
        <v>319142333</v>
      </c>
      <c r="K4" s="17">
        <f>H4+J4</f>
        <v>404852543</v>
      </c>
      <c r="L4" s="13">
        <v>43594</v>
      </c>
    </row>
    <row r="5" spans="1:12" ht="15" customHeight="1">
      <c r="A5" s="22" t="s">
        <v>232</v>
      </c>
      <c r="B5" s="13">
        <v>43572</v>
      </c>
      <c r="C5" s="14">
        <v>0.65</v>
      </c>
      <c r="D5" s="24">
        <v>57</v>
      </c>
      <c r="E5" s="16">
        <f>K5/F5</f>
        <v>3.5740389285714285</v>
      </c>
      <c r="F5" s="17">
        <v>14000000</v>
      </c>
      <c r="G5" s="17">
        <v>11282333</v>
      </c>
      <c r="H5" s="17">
        <v>40305269</v>
      </c>
      <c r="I5" s="21">
        <f>H5/G5</f>
        <v>3.5724232745124613</v>
      </c>
      <c r="J5" s="17">
        <v>9731276</v>
      </c>
      <c r="K5" s="17">
        <f>H5+J5</f>
        <v>50036545</v>
      </c>
      <c r="L5" s="13"/>
    </row>
    <row r="6" spans="1:12" ht="15" customHeight="1">
      <c r="A6" s="15" t="s">
        <v>233</v>
      </c>
      <c r="B6" s="13">
        <v>43623</v>
      </c>
      <c r="C6" s="14">
        <v>0.24</v>
      </c>
      <c r="D6" s="24">
        <v>46</v>
      </c>
      <c r="E6" s="16">
        <f t="shared" ref="E6:E24" si="0">K6/F6</f>
        <v>0</v>
      </c>
      <c r="F6" s="17">
        <v>200000000</v>
      </c>
      <c r="G6" s="17"/>
      <c r="H6" s="17"/>
      <c r="I6" s="21" t="e">
        <f t="shared" ref="I6:I16" si="1">H6/G6</f>
        <v>#DIV/0!</v>
      </c>
      <c r="J6" s="17"/>
      <c r="K6" s="17">
        <f t="shared" ref="K6:K16" si="2">H6+J6</f>
        <v>0</v>
      </c>
      <c r="L6" s="13"/>
    </row>
    <row r="7" spans="1:12" ht="15" customHeight="1">
      <c r="A7" s="15" t="s">
        <v>235</v>
      </c>
      <c r="B7" s="13">
        <v>43657</v>
      </c>
      <c r="C7" s="14">
        <v>0.56999999999999995</v>
      </c>
      <c r="D7" s="24">
        <v>51</v>
      </c>
      <c r="E7" s="16" t="e">
        <f t="shared" si="0"/>
        <v>#DIV/0!</v>
      </c>
      <c r="F7" s="17"/>
      <c r="G7" s="17"/>
      <c r="H7" s="17"/>
      <c r="I7" s="21" t="e">
        <f t="shared" si="1"/>
        <v>#DIV/0!</v>
      </c>
      <c r="J7" s="17"/>
      <c r="K7" s="17">
        <f t="shared" si="2"/>
        <v>0</v>
      </c>
      <c r="L7" s="13"/>
    </row>
    <row r="8" spans="1:12" ht="15" customHeight="1">
      <c r="A8" s="15" t="s">
        <v>238</v>
      </c>
      <c r="B8" s="13">
        <v>43686</v>
      </c>
      <c r="C8" s="14"/>
      <c r="D8" s="24"/>
      <c r="E8" s="16" t="e">
        <f t="shared" si="0"/>
        <v>#DIV/0!</v>
      </c>
      <c r="F8" s="17"/>
      <c r="G8" s="17"/>
      <c r="H8" s="17"/>
      <c r="I8" s="21" t="e">
        <f t="shared" si="1"/>
        <v>#DIV/0!</v>
      </c>
      <c r="J8" s="17"/>
      <c r="K8" s="17">
        <f t="shared" si="2"/>
        <v>0</v>
      </c>
      <c r="L8" s="13"/>
    </row>
    <row r="9" spans="1:12" ht="15" customHeight="1">
      <c r="A9" s="15" t="s">
        <v>254</v>
      </c>
      <c r="B9" s="13">
        <v>43700</v>
      </c>
      <c r="C9" s="14"/>
      <c r="D9" s="24"/>
      <c r="E9" s="16" t="e">
        <f t="shared" si="0"/>
        <v>#DIV/0!</v>
      </c>
      <c r="F9" s="17"/>
      <c r="G9" s="17"/>
      <c r="H9" s="17"/>
      <c r="I9" s="21" t="e">
        <f t="shared" si="1"/>
        <v>#DIV/0!</v>
      </c>
      <c r="J9" s="17"/>
      <c r="K9" s="17">
        <f t="shared" si="2"/>
        <v>0</v>
      </c>
      <c r="L9" s="13"/>
    </row>
    <row r="10" spans="1:12" ht="15" customHeight="1">
      <c r="A10" s="15" t="s">
        <v>234</v>
      </c>
      <c r="B10" s="13">
        <v>43728</v>
      </c>
      <c r="C10" s="14"/>
      <c r="D10" s="24"/>
      <c r="E10" s="16">
        <f t="shared" si="0"/>
        <v>0</v>
      </c>
      <c r="F10" s="17">
        <v>90000000</v>
      </c>
      <c r="G10" s="17"/>
      <c r="H10" s="17"/>
      <c r="I10" s="21" t="e">
        <f t="shared" si="1"/>
        <v>#DIV/0!</v>
      </c>
      <c r="J10" s="17"/>
      <c r="K10" s="17">
        <f>H10+J10</f>
        <v>0</v>
      </c>
      <c r="L10" s="13"/>
    </row>
    <row r="11" spans="1:12" s="11" customFormat="1" ht="15" customHeight="1">
      <c r="A11" s="15" t="s">
        <v>246</v>
      </c>
      <c r="B11" s="13">
        <v>43742</v>
      </c>
      <c r="C11" s="14"/>
      <c r="D11" s="24"/>
      <c r="E11" s="16" t="e">
        <f t="shared" si="0"/>
        <v>#DIV/0!</v>
      </c>
      <c r="F11" s="17"/>
      <c r="G11" s="17"/>
      <c r="H11" s="17"/>
      <c r="I11" s="21" t="e">
        <f t="shared" si="1"/>
        <v>#DIV/0!</v>
      </c>
      <c r="J11" s="17"/>
      <c r="K11" s="17">
        <f t="shared" si="2"/>
        <v>0</v>
      </c>
      <c r="L11" s="13"/>
    </row>
    <row r="12" spans="1:12" s="11" customFormat="1" ht="15" customHeight="1">
      <c r="A12" s="15" t="s">
        <v>247</v>
      </c>
      <c r="B12" s="13">
        <v>43784</v>
      </c>
      <c r="C12" s="14"/>
      <c r="D12" s="24"/>
      <c r="E12" s="16">
        <f t="shared" si="0"/>
        <v>0</v>
      </c>
      <c r="F12" s="17">
        <v>100000000</v>
      </c>
      <c r="G12" s="17"/>
      <c r="H12" s="17"/>
      <c r="I12" s="21" t="e">
        <f t="shared" si="1"/>
        <v>#DIV/0!</v>
      </c>
      <c r="J12" s="17"/>
      <c r="K12" s="17">
        <f t="shared" si="2"/>
        <v>0</v>
      </c>
      <c r="L12" s="13"/>
    </row>
    <row r="13" spans="1:12" ht="15" customHeight="1">
      <c r="A13" s="15" t="s">
        <v>237</v>
      </c>
      <c r="B13" s="13">
        <v>43824</v>
      </c>
      <c r="C13" s="14"/>
      <c r="D13" s="24"/>
      <c r="E13" s="16" t="e">
        <f t="shared" si="0"/>
        <v>#DIV/0!</v>
      </c>
      <c r="F13" s="17"/>
      <c r="G13" s="17"/>
      <c r="H13" s="17"/>
      <c r="I13" s="21" t="e">
        <f t="shared" si="1"/>
        <v>#DIV/0!</v>
      </c>
      <c r="J13" s="17"/>
      <c r="K13" s="17">
        <f t="shared" si="2"/>
        <v>0</v>
      </c>
      <c r="L13" s="13"/>
    </row>
    <row r="14" spans="1:12" ht="15" customHeight="1">
      <c r="A14" s="15" t="s">
        <v>253</v>
      </c>
      <c r="B14" s="13">
        <v>43840</v>
      </c>
      <c r="C14" s="14"/>
      <c r="D14" s="15"/>
      <c r="E14" s="16" t="e">
        <f t="shared" si="0"/>
        <v>#DIV/0!</v>
      </c>
      <c r="F14" s="20"/>
      <c r="G14" s="17"/>
      <c r="H14" s="17"/>
      <c r="I14" s="21" t="e">
        <f t="shared" si="1"/>
        <v>#DIV/0!</v>
      </c>
      <c r="J14" s="17"/>
      <c r="K14" s="17">
        <f t="shared" si="2"/>
        <v>0</v>
      </c>
      <c r="L14" s="13"/>
    </row>
    <row r="15" spans="1:12" ht="15" customHeight="1">
      <c r="A15" s="15" t="s">
        <v>422</v>
      </c>
      <c r="B15" s="13">
        <v>43875</v>
      </c>
      <c r="C15" s="14"/>
      <c r="D15" s="15"/>
      <c r="E15" s="16" t="e">
        <f t="shared" si="0"/>
        <v>#DIV/0!</v>
      </c>
      <c r="F15" s="20"/>
      <c r="G15" s="17"/>
      <c r="H15" s="17"/>
      <c r="I15" s="21" t="e">
        <f t="shared" si="1"/>
        <v>#DIV/0!</v>
      </c>
      <c r="J15" s="17"/>
      <c r="K15" s="17">
        <f t="shared" si="2"/>
        <v>0</v>
      </c>
      <c r="L15" s="13"/>
    </row>
    <row r="16" spans="1:12" ht="15" customHeight="1">
      <c r="A16" s="15" t="s">
        <v>248</v>
      </c>
      <c r="B16" s="13">
        <v>43882</v>
      </c>
      <c r="C16" s="14"/>
      <c r="D16" s="15"/>
      <c r="E16" s="16" t="e">
        <f t="shared" si="0"/>
        <v>#DIV/0!</v>
      </c>
      <c r="F16" s="20"/>
      <c r="G16" s="17"/>
      <c r="H16" s="17"/>
      <c r="I16" s="21" t="e">
        <f t="shared" si="1"/>
        <v>#DIV/0!</v>
      </c>
      <c r="J16" s="17"/>
      <c r="K16" s="17">
        <f t="shared" si="2"/>
        <v>0</v>
      </c>
      <c r="L16" s="13"/>
    </row>
    <row r="17" spans="1:12" ht="15" customHeight="1">
      <c r="A17" s="15" t="s">
        <v>236</v>
      </c>
      <c r="B17" s="13">
        <v>43924</v>
      </c>
      <c r="C17" s="14"/>
      <c r="D17" s="15"/>
      <c r="E17" s="16" t="e">
        <f t="shared" si="0"/>
        <v>#DIV/0!</v>
      </c>
      <c r="F17" s="20"/>
      <c r="G17" s="17"/>
      <c r="H17" s="17"/>
      <c r="I17" s="21" t="e">
        <f t="shared" ref="I17:I24" si="3">H17/G17</f>
        <v>#DIV/0!</v>
      </c>
      <c r="J17" s="17"/>
      <c r="K17" s="17">
        <f t="shared" ref="K17:K24" si="4">H17+J17</f>
        <v>0</v>
      </c>
      <c r="L17" s="13"/>
    </row>
    <row r="18" spans="1:12" ht="15" customHeight="1">
      <c r="A18" s="15" t="s">
        <v>256</v>
      </c>
      <c r="B18" s="13">
        <v>44015</v>
      </c>
      <c r="C18" s="14"/>
      <c r="D18" s="15"/>
      <c r="E18" s="16" t="e">
        <f t="shared" si="0"/>
        <v>#DIV/0!</v>
      </c>
      <c r="F18" s="20"/>
      <c r="G18" s="17"/>
      <c r="H18" s="17"/>
      <c r="I18" s="21" t="e">
        <f t="shared" si="3"/>
        <v>#DIV/0!</v>
      </c>
      <c r="J18" s="17"/>
      <c r="K18" s="17">
        <f t="shared" si="4"/>
        <v>0</v>
      </c>
      <c r="L18" s="13"/>
    </row>
    <row r="19" spans="1:12" ht="15" customHeight="1">
      <c r="A19" s="15" t="s">
        <v>266</v>
      </c>
      <c r="B19" s="13">
        <v>44029</v>
      </c>
      <c r="C19" s="14"/>
      <c r="D19" s="15"/>
      <c r="E19" s="16" t="e">
        <f t="shared" si="0"/>
        <v>#DIV/0!</v>
      </c>
      <c r="F19" s="20"/>
      <c r="G19" s="17"/>
      <c r="H19" s="17"/>
      <c r="I19" s="21" t="e">
        <f t="shared" si="3"/>
        <v>#DIV/0!</v>
      </c>
      <c r="J19" s="17"/>
      <c r="K19" s="17">
        <f t="shared" si="4"/>
        <v>0</v>
      </c>
      <c r="L19" s="13"/>
    </row>
    <row r="20" spans="1:12" ht="15" customHeight="1">
      <c r="A20" s="15" t="s">
        <v>257</v>
      </c>
      <c r="B20" s="13">
        <v>44113</v>
      </c>
      <c r="C20" s="14"/>
      <c r="D20" s="15"/>
      <c r="E20" s="16" t="e">
        <f t="shared" si="0"/>
        <v>#DIV/0!</v>
      </c>
      <c r="F20" s="20"/>
      <c r="G20" s="17"/>
      <c r="H20" s="17"/>
      <c r="I20" s="21" t="e">
        <f t="shared" si="3"/>
        <v>#DIV/0!</v>
      </c>
      <c r="J20" s="17"/>
      <c r="K20" s="17">
        <f t="shared" si="4"/>
        <v>0</v>
      </c>
      <c r="L20" s="13"/>
    </row>
    <row r="21" spans="1:12" ht="15" customHeight="1">
      <c r="A21" s="15" t="s">
        <v>258</v>
      </c>
      <c r="B21" s="13">
        <v>44141</v>
      </c>
      <c r="C21" s="14"/>
      <c r="D21" s="24"/>
      <c r="E21" s="16" t="e">
        <f t="shared" si="0"/>
        <v>#DIV/0!</v>
      </c>
      <c r="F21" s="20"/>
      <c r="G21" s="17"/>
      <c r="H21" s="17"/>
      <c r="I21" s="21" t="e">
        <f t="shared" si="3"/>
        <v>#DIV/0!</v>
      </c>
      <c r="J21" s="17"/>
      <c r="K21" s="17">
        <f t="shared" si="4"/>
        <v>0</v>
      </c>
      <c r="L21" s="13"/>
    </row>
    <row r="22" spans="1:12" ht="15" customHeight="1">
      <c r="A22" s="15" t="s">
        <v>261</v>
      </c>
      <c r="B22" s="13">
        <v>44183</v>
      </c>
      <c r="C22" s="14"/>
      <c r="D22" s="24"/>
      <c r="E22" s="16" t="e">
        <f t="shared" si="0"/>
        <v>#DIV/0!</v>
      </c>
      <c r="F22" s="20"/>
      <c r="G22" s="17"/>
      <c r="H22" s="17"/>
      <c r="I22" s="21" t="e">
        <f t="shared" si="3"/>
        <v>#DIV/0!</v>
      </c>
      <c r="J22" s="17"/>
      <c r="K22" s="17">
        <f t="shared" si="4"/>
        <v>0</v>
      </c>
      <c r="L22" s="13"/>
    </row>
    <row r="23" spans="1:12" ht="15" customHeight="1">
      <c r="A23" s="15" t="s">
        <v>262</v>
      </c>
      <c r="B23" s="13">
        <v>44260</v>
      </c>
      <c r="C23" s="14"/>
      <c r="D23" s="15"/>
      <c r="E23" s="16" t="e">
        <f t="shared" si="0"/>
        <v>#DIV/0!</v>
      </c>
      <c r="F23" s="20"/>
      <c r="G23" s="17"/>
      <c r="H23" s="17"/>
      <c r="I23" s="21" t="e">
        <f t="shared" si="3"/>
        <v>#DIV/0!</v>
      </c>
      <c r="J23" s="17"/>
      <c r="K23" s="17">
        <f t="shared" si="4"/>
        <v>0</v>
      </c>
      <c r="L23" s="13"/>
    </row>
    <row r="24" spans="1:12" ht="15" customHeight="1">
      <c r="A24" s="15" t="s">
        <v>264</v>
      </c>
      <c r="B24" s="13">
        <v>44547</v>
      </c>
      <c r="C24" s="14"/>
      <c r="D24" s="24"/>
      <c r="E24" s="16" t="e">
        <f t="shared" si="0"/>
        <v>#DIV/0!</v>
      </c>
      <c r="F24" s="20"/>
      <c r="G24" s="17"/>
      <c r="H24" s="17"/>
      <c r="I24" s="21" t="e">
        <f t="shared" si="3"/>
        <v>#DIV/0!</v>
      </c>
      <c r="J24" s="17"/>
      <c r="K24" s="17">
        <f t="shared" si="4"/>
        <v>0</v>
      </c>
      <c r="L24" s="13"/>
    </row>
    <row r="25" spans="1:12" ht="15" customHeight="1">
      <c r="B25" s="1"/>
      <c r="C25" s="1"/>
      <c r="F25" s="1"/>
      <c r="G25" s="1"/>
      <c r="H25" s="1"/>
      <c r="I25" s="1"/>
      <c r="J25" s="1"/>
      <c r="K25" s="1"/>
      <c r="L25" s="1"/>
    </row>
    <row r="26" spans="1:12" ht="15" customHeight="1">
      <c r="B26" s="1"/>
      <c r="C26" s="1"/>
      <c r="F26" s="1"/>
      <c r="G26" s="1"/>
      <c r="H26" s="1"/>
      <c r="I26" s="1"/>
      <c r="J26" s="1"/>
      <c r="K26" s="1"/>
      <c r="L26" s="1"/>
    </row>
    <row r="27" spans="1:12" ht="15" customHeight="1">
      <c r="B27" s="1"/>
      <c r="C27" s="1"/>
      <c r="F27" s="1"/>
      <c r="G27" s="1"/>
      <c r="H27" s="1"/>
      <c r="I27" s="1"/>
      <c r="J27" s="1"/>
      <c r="K27" s="1"/>
      <c r="L27" s="1"/>
    </row>
    <row r="28" spans="1:12" ht="15" customHeight="1">
      <c r="B28" s="1"/>
      <c r="C28" s="1"/>
      <c r="F28" s="1"/>
      <c r="G28" s="1"/>
      <c r="H28" s="1"/>
      <c r="I28" s="1"/>
      <c r="J28" s="1"/>
      <c r="K28" s="1"/>
      <c r="L28" s="1"/>
    </row>
    <row r="29" spans="1:12" ht="15" customHeight="1">
      <c r="B29" s="1"/>
      <c r="C29" s="1"/>
      <c r="F29" s="1"/>
      <c r="G29" s="1"/>
      <c r="H29" s="1"/>
      <c r="I29" s="1"/>
      <c r="J29" s="1"/>
      <c r="K29" s="1"/>
      <c r="L29" s="1"/>
    </row>
    <row r="30" spans="1:12" ht="15" customHeight="1">
      <c r="B30" s="1"/>
      <c r="C30" s="1"/>
      <c r="F30" s="1"/>
      <c r="G30" s="1"/>
      <c r="H30" s="1"/>
      <c r="I30" s="1"/>
      <c r="J30" s="1"/>
      <c r="K30" s="1"/>
      <c r="L30" s="1"/>
    </row>
    <row r="31" spans="1:12" ht="15" customHeight="1">
      <c r="B31" s="1"/>
      <c r="C31" s="1"/>
      <c r="F31" s="1"/>
      <c r="G31" s="1"/>
      <c r="H31" s="1"/>
      <c r="I31" s="1"/>
      <c r="J31" s="1"/>
      <c r="K31" s="1"/>
      <c r="L31" s="1"/>
    </row>
    <row r="32" spans="1:12" ht="15" customHeight="1">
      <c r="B32" s="1"/>
      <c r="C32" s="1"/>
      <c r="F32" s="1"/>
      <c r="G32" s="1"/>
      <c r="H32" s="1"/>
      <c r="I32" s="1"/>
      <c r="J32" s="1"/>
      <c r="K32" s="1"/>
      <c r="L32" s="1"/>
    </row>
    <row r="33" s="1" customFormat="1" ht="15" customHeight="1"/>
    <row r="34" s="1" customFormat="1" ht="15" customHeight="1"/>
    <row r="35" s="1" customFormat="1" ht="15" customHeight="1"/>
    <row r="36" s="1" customFormat="1" ht="15" customHeight="1"/>
    <row r="37" s="1" customFormat="1" ht="15" customHeight="1"/>
    <row r="38" s="1" customFormat="1" ht="15" customHeight="1"/>
    <row r="39" s="1" customFormat="1" ht="15" customHeight="1"/>
    <row r="40" s="1" customFormat="1" ht="15" customHeight="1"/>
    <row r="41" s="1" customFormat="1" ht="15" customHeight="1"/>
    <row r="42" s="1" customFormat="1" ht="15" customHeight="1"/>
    <row r="43" s="1" customFormat="1" ht="15" customHeight="1"/>
    <row r="44" s="1" customFormat="1" ht="15" customHeight="1"/>
    <row r="45" s="1" customFormat="1" ht="15" customHeight="1"/>
    <row r="46" s="1" customFormat="1" ht="15" customHeight="1"/>
    <row r="47" s="1" customFormat="1" ht="15" customHeight="1"/>
    <row r="48" s="1" customFormat="1" ht="15" customHeight="1"/>
    <row r="49" s="1" customFormat="1" ht="15" customHeight="1"/>
    <row r="50" s="1" customFormat="1" ht="15" customHeight="1"/>
    <row r="51" s="1" customFormat="1" ht="15" customHeight="1"/>
    <row r="52" s="1" customFormat="1" ht="15" customHeight="1"/>
    <row r="53" s="1" customFormat="1" ht="15" customHeight="1"/>
    <row r="54" s="1" customFormat="1" ht="15" customHeight="1"/>
    <row r="55" s="1" customFormat="1" ht="15" customHeight="1"/>
  </sheetData>
  <mergeCells count="1">
    <mergeCell ref="A1:L1"/>
  </mergeCells>
  <conditionalFormatting sqref="D2">
    <cfRule type="cellIs" dxfId="273" priority="59" operator="between">
      <formula>40</formula>
      <formula>59</formula>
    </cfRule>
    <cfRule type="cellIs" dxfId="272" priority="60" operator="between">
      <formula>1</formula>
      <formula>39</formula>
    </cfRule>
    <cfRule type="cellIs" dxfId="271" priority="61" operator="between">
      <formula>60</formula>
      <formula>70</formula>
    </cfRule>
  </conditionalFormatting>
  <conditionalFormatting sqref="D5:D13">
    <cfRule type="cellIs" dxfId="270" priority="49" operator="between">
      <formula>40</formula>
      <formula>59</formula>
    </cfRule>
  </conditionalFormatting>
  <conditionalFormatting sqref="C5:C13">
    <cfRule type="cellIs" dxfId="269" priority="45" operator="between">
      <formula>0.39</formula>
      <formula>0.01</formula>
    </cfRule>
    <cfRule type="cellIs" dxfId="268" priority="46" operator="between">
      <formula>0.4</formula>
      <formula>0.59</formula>
    </cfRule>
    <cfRule type="cellIs" dxfId="267" priority="47" operator="between">
      <formula>0.6</formula>
      <formula>0.74</formula>
    </cfRule>
    <cfRule type="cellIs" dxfId="266" priority="48" operator="greaterThan">
      <formula>0.74</formula>
    </cfRule>
  </conditionalFormatting>
  <conditionalFormatting sqref="D5:D13">
    <cfRule type="cellIs" dxfId="265" priority="50" operator="between">
      <formula>71</formula>
      <formula>100</formula>
    </cfRule>
    <cfRule type="cellIs" dxfId="264" priority="51" operator="between">
      <formula>1</formula>
      <formula>39</formula>
    </cfRule>
    <cfRule type="cellIs" dxfId="263" priority="52" operator="between">
      <formula>60</formula>
      <formula>70</formula>
    </cfRule>
    <cfRule type="cellIs" dxfId="262" priority="53" operator="between">
      <formula>71</formula>
      <formula>100</formula>
    </cfRule>
  </conditionalFormatting>
  <conditionalFormatting sqref="C14:D22">
    <cfRule type="cellIs" dxfId="261" priority="36" operator="between">
      <formula>0.005</formula>
      <formula>0.394999999999999</formula>
    </cfRule>
  </conditionalFormatting>
  <conditionalFormatting sqref="C14:D22">
    <cfRule type="cellIs" dxfId="260" priority="33" operator="between">
      <formula>0.745</formula>
      <formula>1</formula>
    </cfRule>
  </conditionalFormatting>
  <conditionalFormatting sqref="C14:D22">
    <cfRule type="cellIs" dxfId="259" priority="34" operator="between">
      <formula>0.595</formula>
      <formula>0.744999999999999</formula>
    </cfRule>
  </conditionalFormatting>
  <conditionalFormatting sqref="C14:D22">
    <cfRule type="cellIs" dxfId="258" priority="35" operator="between">
      <formula>0.395</formula>
      <formula>0.594999999999999</formula>
    </cfRule>
  </conditionalFormatting>
  <conditionalFormatting sqref="D14:D22">
    <cfRule type="cellIs" dxfId="257" priority="29" operator="between">
      <formula>40</formula>
      <formula>59</formula>
    </cfRule>
    <cfRule type="cellIs" dxfId="256" priority="30" operator="between">
      <formula>1</formula>
      <formula>39</formula>
    </cfRule>
    <cfRule type="cellIs" dxfId="255" priority="31" operator="between">
      <formula>60</formula>
      <formula>70</formula>
    </cfRule>
    <cfRule type="cellIs" dxfId="254" priority="32" operator="between">
      <formula>71</formula>
      <formula>100</formula>
    </cfRule>
  </conditionalFormatting>
  <conditionalFormatting sqref="C23:D23">
    <cfRule type="cellIs" dxfId="253" priority="28" operator="between">
      <formula>0.005</formula>
      <formula>0.394999999999999</formula>
    </cfRule>
  </conditionalFormatting>
  <conditionalFormatting sqref="C23:D23">
    <cfRule type="cellIs" dxfId="252" priority="25" operator="between">
      <formula>0.745</formula>
      <formula>1</formula>
    </cfRule>
  </conditionalFormatting>
  <conditionalFormatting sqref="C23:D23">
    <cfRule type="cellIs" dxfId="251" priority="26" operator="between">
      <formula>0.595</formula>
      <formula>0.744999999999999</formula>
    </cfRule>
  </conditionalFormatting>
  <conditionalFormatting sqref="C23:D23">
    <cfRule type="cellIs" dxfId="250" priority="27" operator="between">
      <formula>0.395</formula>
      <formula>0.594999999999999</formula>
    </cfRule>
  </conditionalFormatting>
  <conditionalFormatting sqref="D23">
    <cfRule type="cellIs" dxfId="249" priority="17" operator="between">
      <formula>40</formula>
      <formula>59</formula>
    </cfRule>
    <cfRule type="cellIs" dxfId="248" priority="18" operator="between">
      <formula>1</formula>
      <formula>39</formula>
    </cfRule>
    <cfRule type="cellIs" dxfId="247" priority="19" operator="between">
      <formula>60</formula>
      <formula>70</formula>
    </cfRule>
    <cfRule type="cellIs" dxfId="246" priority="20" operator="between">
      <formula>71</formula>
      <formula>100</formula>
    </cfRule>
  </conditionalFormatting>
  <conditionalFormatting sqref="D24">
    <cfRule type="cellIs" dxfId="245" priority="14" operator="between">
      <formula>40</formula>
      <formula>1</formula>
    </cfRule>
    <cfRule type="cellIs" dxfId="244" priority="15" operator="between">
      <formula>40</formula>
      <formula>59</formula>
    </cfRule>
    <cfRule type="cellIs" dxfId="243" priority="16" operator="greaterThan">
      <formula>59</formula>
    </cfRule>
  </conditionalFormatting>
  <conditionalFormatting sqref="C24">
    <cfRule type="cellIs" dxfId="242" priority="10" operator="between">
      <formula>0.39</formula>
      <formula>0.01</formula>
    </cfRule>
    <cfRule type="cellIs" dxfId="241" priority="11" operator="between">
      <formula>0.4</formula>
      <formula>0.59</formula>
    </cfRule>
    <cfRule type="cellIs" dxfId="240" priority="12" operator="between">
      <formula>0.6</formula>
      <formula>0.74</formula>
    </cfRule>
    <cfRule type="cellIs" dxfId="239" priority="13" operator="greaterThan">
      <formula>0.74</formula>
    </cfRule>
  </conditionalFormatting>
  <conditionalFormatting sqref="D3:D4">
    <cfRule type="cellIs" dxfId="238" priority="5" operator="between">
      <formula>40</formula>
      <formula>59</formula>
    </cfRule>
  </conditionalFormatting>
  <conditionalFormatting sqref="C3:C4">
    <cfRule type="cellIs" dxfId="237" priority="1" operator="between">
      <formula>0.39</formula>
      <formula>0.01</formula>
    </cfRule>
    <cfRule type="cellIs" dxfId="236" priority="2" operator="between">
      <formula>0.4</formula>
      <formula>0.59</formula>
    </cfRule>
    <cfRule type="cellIs" dxfId="235" priority="3" operator="between">
      <formula>0.6</formula>
      <formula>0.74</formula>
    </cfRule>
    <cfRule type="cellIs" dxfId="234" priority="4" operator="greaterThan">
      <formula>0.74</formula>
    </cfRule>
  </conditionalFormatting>
  <conditionalFormatting sqref="D3:D4">
    <cfRule type="cellIs" dxfId="233" priority="6" operator="between">
      <formula>71</formula>
      <formula>100</formula>
    </cfRule>
    <cfRule type="cellIs" dxfId="232" priority="7" operator="between">
      <formula>1</formula>
      <formula>39</formula>
    </cfRule>
    <cfRule type="cellIs" dxfId="231" priority="8" operator="between">
      <formula>60</formula>
      <formula>70</formula>
    </cfRule>
    <cfRule type="cellIs" dxfId="230" priority="9" operator="between">
      <formula>71</formula>
      <formula>100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M74"/>
  <sheetViews>
    <sheetView topLeftCell="A21" zoomScale="90" zoomScaleNormal="90" workbookViewId="0">
      <selection activeCell="E49" sqref="E49"/>
    </sheetView>
  </sheetViews>
  <sheetFormatPr defaultColWidth="9.140625" defaultRowHeight="15" customHeight="1"/>
  <cols>
    <col min="1" max="1" width="43.7109375" style="53" bestFit="1" customWidth="1"/>
    <col min="2" max="2" width="20.28515625" style="53" bestFit="1" customWidth="1"/>
    <col min="3" max="3" width="7.42578125" style="81" bestFit="1" customWidth="1"/>
    <col min="4" max="4" width="5.7109375" style="54" bestFit="1" customWidth="1"/>
    <col min="5" max="5" width="15.7109375" style="53" bestFit="1" customWidth="1"/>
    <col min="6" max="6" width="14.85546875" style="53" customWidth="1"/>
    <col min="7" max="7" width="5" style="53" bestFit="1" customWidth="1"/>
    <col min="8" max="8" width="9.42578125" style="53" bestFit="1" customWidth="1"/>
    <col min="9" max="9" width="15.42578125" style="53" bestFit="1" customWidth="1"/>
    <col min="10" max="10" width="8.42578125" style="53" bestFit="1" customWidth="1"/>
    <col min="11" max="11" width="17" style="53" bestFit="1" customWidth="1"/>
    <col min="12" max="12" width="16.85546875" style="53" bestFit="1" customWidth="1"/>
    <col min="13" max="13" width="20.140625" style="53" bestFit="1" customWidth="1"/>
    <col min="14" max="16384" width="9.140625" style="53"/>
  </cols>
  <sheetData>
    <row r="1" spans="1:13" ht="15" customHeight="1">
      <c r="A1" s="138" t="s">
        <v>192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</row>
    <row r="2" spans="1:13" s="80" customFormat="1" ht="15" customHeight="1">
      <c r="A2" s="2" t="s">
        <v>19</v>
      </c>
      <c r="B2" s="3" t="s">
        <v>2</v>
      </c>
      <c r="C2" s="4" t="s">
        <v>92</v>
      </c>
      <c r="D2" s="5" t="s">
        <v>93</v>
      </c>
      <c r="E2" s="6" t="s">
        <v>9</v>
      </c>
      <c r="F2" s="6" t="s">
        <v>0</v>
      </c>
      <c r="G2" s="7" t="s">
        <v>15</v>
      </c>
      <c r="H2" s="8" t="s">
        <v>37</v>
      </c>
      <c r="I2" s="6" t="s">
        <v>270</v>
      </c>
      <c r="J2" s="9" t="s">
        <v>269</v>
      </c>
      <c r="K2" s="6" t="s">
        <v>271</v>
      </c>
      <c r="L2" s="6" t="s">
        <v>225</v>
      </c>
      <c r="M2" s="3" t="s">
        <v>31</v>
      </c>
    </row>
    <row r="3" spans="1:13" ht="15" customHeight="1">
      <c r="A3" s="22" t="s">
        <v>71</v>
      </c>
      <c r="B3" s="13">
        <v>42755</v>
      </c>
      <c r="C3" s="14">
        <v>0.76</v>
      </c>
      <c r="D3" s="15">
        <v>64</v>
      </c>
      <c r="E3" s="17">
        <v>9000000</v>
      </c>
      <c r="F3" s="17">
        <v>40010975</v>
      </c>
      <c r="G3" s="23">
        <v>1</v>
      </c>
      <c r="H3" s="20">
        <f t="shared" ref="H3:H66" si="0">F3/I3</f>
        <v>0.28932374049529413</v>
      </c>
      <c r="I3" s="17">
        <v>138291365</v>
      </c>
      <c r="J3" s="21">
        <f t="shared" ref="J3:J66" si="1">I3/F3</f>
        <v>3.4563357928668323</v>
      </c>
      <c r="K3" s="17">
        <v>140162993</v>
      </c>
      <c r="L3" s="17">
        <f t="shared" ref="L3:L66" si="2">I3+K3</f>
        <v>278454358</v>
      </c>
      <c r="M3" s="13">
        <v>42866</v>
      </c>
    </row>
    <row r="4" spans="1:13" ht="15" customHeight="1">
      <c r="A4" s="22" t="s">
        <v>70</v>
      </c>
      <c r="B4" s="13">
        <v>42762</v>
      </c>
      <c r="C4" s="14">
        <v>0.34</v>
      </c>
      <c r="D4" s="15">
        <v>48</v>
      </c>
      <c r="E4" s="17">
        <v>22000000</v>
      </c>
      <c r="F4" s="17">
        <v>18222810</v>
      </c>
      <c r="G4" s="23">
        <v>2</v>
      </c>
      <c r="H4" s="20">
        <f t="shared" si="0"/>
        <v>0.28248643359600623</v>
      </c>
      <c r="I4" s="17">
        <v>64508620</v>
      </c>
      <c r="J4" s="21">
        <f t="shared" si="1"/>
        <v>3.5399930087620954</v>
      </c>
      <c r="K4" s="17">
        <v>131878234</v>
      </c>
      <c r="L4" s="17">
        <f t="shared" si="2"/>
        <v>196386854</v>
      </c>
      <c r="M4" s="13">
        <v>42873</v>
      </c>
    </row>
    <row r="5" spans="1:13" ht="15" customHeight="1">
      <c r="A5" s="22" t="s">
        <v>69</v>
      </c>
      <c r="B5" s="13">
        <v>42776</v>
      </c>
      <c r="C5" s="14">
        <v>0.09</v>
      </c>
      <c r="D5" s="15">
        <v>34</v>
      </c>
      <c r="E5" s="17">
        <v>55000000</v>
      </c>
      <c r="F5" s="17">
        <v>46607250</v>
      </c>
      <c r="G5" s="23">
        <v>2</v>
      </c>
      <c r="H5" s="20">
        <f t="shared" si="0"/>
        <v>0.40676157748322694</v>
      </c>
      <c r="I5" s="17">
        <v>114581250</v>
      </c>
      <c r="J5" s="21">
        <f t="shared" si="1"/>
        <v>2.4584426242698294</v>
      </c>
      <c r="K5" s="17">
        <v>266547533</v>
      </c>
      <c r="L5" s="17">
        <f t="shared" si="2"/>
        <v>381128783</v>
      </c>
      <c r="M5" s="13">
        <v>42831</v>
      </c>
    </row>
    <row r="6" spans="1:13" ht="15" customHeight="1">
      <c r="A6" s="12" t="s">
        <v>68</v>
      </c>
      <c r="B6" s="13">
        <v>42783</v>
      </c>
      <c r="C6" s="14">
        <v>0.35</v>
      </c>
      <c r="D6" s="15">
        <v>49</v>
      </c>
      <c r="E6" s="17">
        <v>150000000</v>
      </c>
      <c r="F6" s="17">
        <v>18469620</v>
      </c>
      <c r="G6" s="23">
        <v>3</v>
      </c>
      <c r="H6" s="20">
        <f t="shared" si="0"/>
        <v>0.40556177829872664</v>
      </c>
      <c r="I6" s="17">
        <v>45540830</v>
      </c>
      <c r="J6" s="21">
        <f t="shared" si="1"/>
        <v>2.4657155913332272</v>
      </c>
      <c r="K6" s="17">
        <v>289393001</v>
      </c>
      <c r="L6" s="17">
        <f t="shared" si="2"/>
        <v>334933831</v>
      </c>
      <c r="M6" s="13">
        <v>42887</v>
      </c>
    </row>
    <row r="7" spans="1:13" ht="15" customHeight="1">
      <c r="A7" s="22" t="s">
        <v>67</v>
      </c>
      <c r="B7" s="13">
        <v>42790</v>
      </c>
      <c r="C7" s="14">
        <v>0.99</v>
      </c>
      <c r="D7" s="15">
        <v>83</v>
      </c>
      <c r="E7" s="17">
        <v>4500000</v>
      </c>
      <c r="F7" s="17">
        <v>33377060</v>
      </c>
      <c r="G7" s="23">
        <v>1</v>
      </c>
      <c r="H7" s="20">
        <f t="shared" si="0"/>
        <v>0.18959857939641389</v>
      </c>
      <c r="I7" s="17">
        <v>176040665</v>
      </c>
      <c r="J7" s="21">
        <f t="shared" si="1"/>
        <v>5.2743011217884384</v>
      </c>
      <c r="K7" s="17">
        <v>78976664</v>
      </c>
      <c r="L7" s="17">
        <f t="shared" si="2"/>
        <v>255017329</v>
      </c>
      <c r="M7" s="13">
        <v>43146</v>
      </c>
    </row>
    <row r="8" spans="1:13" ht="15" customHeight="1">
      <c r="A8" s="22" t="s">
        <v>66</v>
      </c>
      <c r="B8" s="13">
        <v>42839</v>
      </c>
      <c r="C8" s="14">
        <v>0.66</v>
      </c>
      <c r="D8" s="15">
        <v>61</v>
      </c>
      <c r="E8" s="17">
        <v>250000000</v>
      </c>
      <c r="F8" s="17">
        <v>98786705</v>
      </c>
      <c r="G8" s="23">
        <v>1</v>
      </c>
      <c r="H8" s="20">
        <f t="shared" si="0"/>
        <v>0.43709309723176865</v>
      </c>
      <c r="I8" s="17">
        <v>226008385</v>
      </c>
      <c r="J8" s="21">
        <f t="shared" si="1"/>
        <v>2.2878421240995941</v>
      </c>
      <c r="K8" s="17">
        <v>1009996733</v>
      </c>
      <c r="L8" s="17">
        <f t="shared" si="2"/>
        <v>1236005118</v>
      </c>
      <c r="M8" s="13">
        <v>42957</v>
      </c>
    </row>
    <row r="9" spans="1:13" ht="15" customHeight="1">
      <c r="A9" s="25" t="s">
        <v>65</v>
      </c>
      <c r="B9" s="13">
        <v>42895</v>
      </c>
      <c r="C9" s="14">
        <v>0.15</v>
      </c>
      <c r="D9" s="15">
        <v>42</v>
      </c>
      <c r="E9" s="17">
        <v>160000000</v>
      </c>
      <c r="F9" s="17">
        <v>31688375</v>
      </c>
      <c r="G9" s="23">
        <v>2</v>
      </c>
      <c r="H9" s="20">
        <f t="shared" si="0"/>
        <v>0.3949795142948721</v>
      </c>
      <c r="I9" s="17">
        <v>80227895</v>
      </c>
      <c r="J9" s="21">
        <f t="shared" si="1"/>
        <v>2.5317768740113684</v>
      </c>
      <c r="K9" s="17">
        <v>329003712</v>
      </c>
      <c r="L9" s="17">
        <f t="shared" si="2"/>
        <v>409231607</v>
      </c>
      <c r="M9" s="13">
        <v>43063</v>
      </c>
    </row>
    <row r="10" spans="1:13" ht="15" customHeight="1">
      <c r="A10" s="22" t="s">
        <v>64</v>
      </c>
      <c r="B10" s="13">
        <v>42916</v>
      </c>
      <c r="C10" s="14">
        <v>0.59</v>
      </c>
      <c r="D10" s="15">
        <v>57</v>
      </c>
      <c r="E10" s="17">
        <v>80000000</v>
      </c>
      <c r="F10" s="17">
        <v>72434025</v>
      </c>
      <c r="G10" s="23">
        <v>1</v>
      </c>
      <c r="H10" s="20">
        <f t="shared" si="0"/>
        <v>0.27372401174041838</v>
      </c>
      <c r="I10" s="17">
        <v>264624300</v>
      </c>
      <c r="J10" s="21">
        <f t="shared" si="1"/>
        <v>3.6533148613514159</v>
      </c>
      <c r="K10" s="17">
        <v>768883847</v>
      </c>
      <c r="L10" s="17">
        <f t="shared" si="2"/>
        <v>1033508147</v>
      </c>
      <c r="M10" s="13">
        <v>43090</v>
      </c>
    </row>
    <row r="11" spans="1:13" ht="15" customHeight="1">
      <c r="A11" s="22" t="s">
        <v>63</v>
      </c>
      <c r="B11" s="13">
        <v>42937</v>
      </c>
      <c r="C11" s="14">
        <v>0.89</v>
      </c>
      <c r="D11" s="15">
        <v>68</v>
      </c>
      <c r="E11" s="17">
        <v>19000000</v>
      </c>
      <c r="F11" s="17">
        <v>31201920</v>
      </c>
      <c r="G11" s="23">
        <v>2</v>
      </c>
      <c r="H11" s="20">
        <f t="shared" si="0"/>
        <v>0.27091682379816168</v>
      </c>
      <c r="I11" s="17">
        <v>115171585</v>
      </c>
      <c r="J11" s="21">
        <f t="shared" si="1"/>
        <v>3.6911698062170535</v>
      </c>
      <c r="K11" s="17">
        <v>23900000</v>
      </c>
      <c r="L11" s="17">
        <f t="shared" si="2"/>
        <v>139071585</v>
      </c>
      <c r="M11" s="13">
        <v>43027</v>
      </c>
    </row>
    <row r="12" spans="1:13" ht="15" customHeight="1">
      <c r="A12" s="25" t="s">
        <v>62</v>
      </c>
      <c r="B12" s="13">
        <v>43007</v>
      </c>
      <c r="C12" s="14">
        <v>0.86</v>
      </c>
      <c r="D12" s="15">
        <v>69</v>
      </c>
      <c r="E12" s="17">
        <v>50000000</v>
      </c>
      <c r="F12" s="18">
        <v>16776390</v>
      </c>
      <c r="G12" s="19">
        <v>3</v>
      </c>
      <c r="H12" s="20">
        <f t="shared" si="0"/>
        <v>0.32675762533598224</v>
      </c>
      <c r="I12" s="17">
        <v>51342000</v>
      </c>
      <c r="J12" s="21">
        <f t="shared" si="1"/>
        <v>3.0603723447058635</v>
      </c>
      <c r="K12" s="17">
        <v>83524593</v>
      </c>
      <c r="L12" s="17">
        <f t="shared" si="2"/>
        <v>134866593</v>
      </c>
      <c r="M12" s="13">
        <v>43083</v>
      </c>
    </row>
    <row r="13" spans="1:13" ht="15" customHeight="1">
      <c r="A13" s="22" t="s">
        <v>86</v>
      </c>
      <c r="B13" s="13">
        <v>43021</v>
      </c>
      <c r="C13" s="14">
        <v>0.69</v>
      </c>
      <c r="D13" s="15">
        <v>60</v>
      </c>
      <c r="E13" s="17">
        <v>4800000</v>
      </c>
      <c r="F13" s="17">
        <v>26039025</v>
      </c>
      <c r="G13" s="23">
        <v>1</v>
      </c>
      <c r="H13" s="20">
        <f t="shared" si="0"/>
        <v>0.46762261119001391</v>
      </c>
      <c r="I13" s="17">
        <v>55683845</v>
      </c>
      <c r="J13" s="21">
        <f t="shared" si="1"/>
        <v>2.1384765750637746</v>
      </c>
      <c r="K13" s="17">
        <v>59500000</v>
      </c>
      <c r="L13" s="17">
        <f t="shared" si="2"/>
        <v>115183845</v>
      </c>
      <c r="M13" s="13">
        <v>43083</v>
      </c>
    </row>
    <row r="14" spans="1:13" ht="15" customHeight="1">
      <c r="A14" s="12" t="s">
        <v>61</v>
      </c>
      <c r="B14" s="13">
        <v>43028</v>
      </c>
      <c r="C14" s="14">
        <v>0.08</v>
      </c>
      <c r="D14" s="15">
        <v>32</v>
      </c>
      <c r="E14" s="17">
        <v>35000000</v>
      </c>
      <c r="F14" s="17">
        <v>3372565</v>
      </c>
      <c r="G14" s="23">
        <v>8</v>
      </c>
      <c r="H14" s="20">
        <f t="shared" si="0"/>
        <v>0.50336528092763699</v>
      </c>
      <c r="I14" s="17">
        <v>6700035</v>
      </c>
      <c r="J14" s="21">
        <f t="shared" si="1"/>
        <v>1.9866288714969171</v>
      </c>
      <c r="K14" s="17">
        <v>36400000</v>
      </c>
      <c r="L14" s="17">
        <f t="shared" si="2"/>
        <v>43100035</v>
      </c>
      <c r="M14" s="13">
        <v>43062</v>
      </c>
    </row>
    <row r="15" spans="1:13" ht="15" customHeight="1">
      <c r="A15" s="12" t="s">
        <v>87</v>
      </c>
      <c r="B15" s="13">
        <v>43035</v>
      </c>
      <c r="C15" s="14">
        <v>0.78</v>
      </c>
      <c r="D15" s="15">
        <v>67</v>
      </c>
      <c r="E15" s="17">
        <v>20000000</v>
      </c>
      <c r="F15" s="17">
        <v>3817700</v>
      </c>
      <c r="G15" s="23">
        <v>6</v>
      </c>
      <c r="H15" s="20">
        <f t="shared" si="0"/>
        <v>0.40033346266371655</v>
      </c>
      <c r="I15" s="17">
        <v>9536300</v>
      </c>
      <c r="J15" s="21">
        <f t="shared" si="1"/>
        <v>2.497917594363098</v>
      </c>
      <c r="K15" s="17">
        <v>0</v>
      </c>
      <c r="L15" s="17">
        <f t="shared" si="2"/>
        <v>9536300</v>
      </c>
      <c r="M15" s="13">
        <v>43069</v>
      </c>
    </row>
    <row r="16" spans="1:13" ht="15" customHeight="1" thickBot="1">
      <c r="A16" s="26" t="s">
        <v>60</v>
      </c>
      <c r="B16" s="27">
        <v>43091</v>
      </c>
      <c r="C16" s="28">
        <v>0.32</v>
      </c>
      <c r="D16" s="29">
        <v>47</v>
      </c>
      <c r="E16" s="31">
        <v>45000000</v>
      </c>
      <c r="F16" s="31">
        <v>19928525</v>
      </c>
      <c r="G16" s="30">
        <v>3</v>
      </c>
      <c r="H16" s="32">
        <f t="shared" si="0"/>
        <v>0.18998087943538805</v>
      </c>
      <c r="I16" s="31">
        <v>104897530</v>
      </c>
      <c r="J16" s="33">
        <f t="shared" si="1"/>
        <v>5.2636876035732696</v>
      </c>
      <c r="K16" s="31">
        <v>79000000</v>
      </c>
      <c r="L16" s="31">
        <f t="shared" si="2"/>
        <v>183897530</v>
      </c>
      <c r="M16" s="27">
        <v>43167</v>
      </c>
    </row>
    <row r="17" spans="1:13" ht="15" customHeight="1" thickTop="1">
      <c r="A17" s="34" t="s">
        <v>95</v>
      </c>
      <c r="B17" s="35">
        <v>43105</v>
      </c>
      <c r="C17" s="36">
        <v>0.32</v>
      </c>
      <c r="D17" s="43">
        <v>51</v>
      </c>
      <c r="E17" s="39">
        <v>10000000</v>
      </c>
      <c r="F17" s="39">
        <v>29581355</v>
      </c>
      <c r="G17" s="38">
        <v>2</v>
      </c>
      <c r="H17" s="40">
        <f t="shared" si="0"/>
        <v>0.43923206508533041</v>
      </c>
      <c r="I17" s="39">
        <v>67347895</v>
      </c>
      <c r="J17" s="41">
        <f t="shared" si="1"/>
        <v>2.2767008137389242</v>
      </c>
      <c r="K17" s="39">
        <v>98829604</v>
      </c>
      <c r="L17" s="39">
        <f t="shared" si="2"/>
        <v>166177499</v>
      </c>
      <c r="M17" s="35">
        <v>43160</v>
      </c>
    </row>
    <row r="18" spans="1:13" ht="15" customHeight="1">
      <c r="A18" s="22" t="s">
        <v>96</v>
      </c>
      <c r="B18" s="13">
        <v>43140</v>
      </c>
      <c r="C18" s="14">
        <v>0.13</v>
      </c>
      <c r="D18" s="24">
        <v>32</v>
      </c>
      <c r="E18" s="17">
        <v>55000000</v>
      </c>
      <c r="F18" s="17">
        <v>38560195</v>
      </c>
      <c r="G18" s="23">
        <v>1</v>
      </c>
      <c r="H18" s="20">
        <f t="shared" si="0"/>
        <v>0.38403600478688099</v>
      </c>
      <c r="I18" s="17">
        <v>100407760</v>
      </c>
      <c r="J18" s="21">
        <f t="shared" si="1"/>
        <v>2.6039225164706767</v>
      </c>
      <c r="K18" s="17">
        <v>270217873</v>
      </c>
      <c r="L18" s="17">
        <f t="shared" si="2"/>
        <v>370625633</v>
      </c>
      <c r="M18" s="13">
        <v>43195</v>
      </c>
    </row>
    <row r="19" spans="1:13" ht="15" customHeight="1">
      <c r="A19" s="12" t="s">
        <v>97</v>
      </c>
      <c r="B19" s="13">
        <v>43182</v>
      </c>
      <c r="C19" s="14">
        <v>0.44</v>
      </c>
      <c r="D19" s="24">
        <v>50</v>
      </c>
      <c r="E19" s="17">
        <v>150000000</v>
      </c>
      <c r="F19" s="17">
        <v>28116535</v>
      </c>
      <c r="G19" s="23">
        <v>1</v>
      </c>
      <c r="H19" s="20">
        <f t="shared" si="0"/>
        <v>0.47505610095273837</v>
      </c>
      <c r="I19" s="17">
        <v>59185715</v>
      </c>
      <c r="J19" s="21">
        <f t="shared" si="1"/>
        <v>2.1050145403763301</v>
      </c>
      <c r="K19" s="17">
        <v>230875582</v>
      </c>
      <c r="L19" s="17">
        <f t="shared" si="2"/>
        <v>290061297</v>
      </c>
      <c r="M19" s="13">
        <v>43237</v>
      </c>
    </row>
    <row r="20" spans="1:13" ht="15" customHeight="1">
      <c r="A20" s="22" t="s">
        <v>98</v>
      </c>
      <c r="B20" s="13">
        <v>43196</v>
      </c>
      <c r="C20" s="14">
        <v>0.83</v>
      </c>
      <c r="D20" s="24">
        <v>68</v>
      </c>
      <c r="E20" s="17">
        <v>21000000</v>
      </c>
      <c r="F20" s="17">
        <v>20556350</v>
      </c>
      <c r="G20" s="23">
        <v>3</v>
      </c>
      <c r="H20" s="20">
        <f t="shared" si="0"/>
        <v>0.34352467596035829</v>
      </c>
      <c r="I20" s="17">
        <v>59839515</v>
      </c>
      <c r="J20" s="21">
        <f t="shared" si="1"/>
        <v>2.910999034361645</v>
      </c>
      <c r="K20" s="17">
        <v>33315550</v>
      </c>
      <c r="L20" s="17">
        <f t="shared" si="2"/>
        <v>93155065</v>
      </c>
      <c r="M20" s="13">
        <v>43265</v>
      </c>
    </row>
    <row r="21" spans="1:13" ht="15" customHeight="1">
      <c r="A21" s="22" t="s">
        <v>99</v>
      </c>
      <c r="B21" s="13">
        <v>43203</v>
      </c>
      <c r="C21" s="14">
        <v>0.14000000000000001</v>
      </c>
      <c r="D21" s="24">
        <v>36</v>
      </c>
      <c r="E21" s="17">
        <v>3500000</v>
      </c>
      <c r="F21" s="17">
        <v>18667855</v>
      </c>
      <c r="G21" s="23">
        <v>3</v>
      </c>
      <c r="H21" s="20">
        <f t="shared" si="0"/>
        <v>0.45847792888575833</v>
      </c>
      <c r="I21" s="17">
        <v>40717020</v>
      </c>
      <c r="J21" s="21">
        <f t="shared" si="1"/>
        <v>2.1811300762728232</v>
      </c>
      <c r="K21" s="17">
        <v>52236552</v>
      </c>
      <c r="L21" s="17">
        <f t="shared" si="2"/>
        <v>92953572</v>
      </c>
      <c r="M21" s="13">
        <v>43258</v>
      </c>
    </row>
    <row r="22" spans="1:13" ht="15" customHeight="1">
      <c r="A22" s="22" t="s">
        <v>185</v>
      </c>
      <c r="B22" s="13">
        <v>43231</v>
      </c>
      <c r="C22" s="14">
        <v>0.24</v>
      </c>
      <c r="D22" s="24">
        <v>42</v>
      </c>
      <c r="E22" s="17">
        <v>6000000</v>
      </c>
      <c r="F22" s="17">
        <v>17630285</v>
      </c>
      <c r="G22" s="23">
        <v>3</v>
      </c>
      <c r="H22" s="20">
        <f t="shared" si="0"/>
        <v>0.38010131703085087</v>
      </c>
      <c r="I22" s="17">
        <v>46383120</v>
      </c>
      <c r="J22" s="21">
        <f t="shared" si="1"/>
        <v>2.6308774929049643</v>
      </c>
      <c r="K22" s="17">
        <v>3610105</v>
      </c>
      <c r="L22" s="17">
        <f t="shared" si="2"/>
        <v>49993225</v>
      </c>
      <c r="M22" s="13">
        <v>43293</v>
      </c>
    </row>
    <row r="23" spans="1:13" ht="15" customHeight="1">
      <c r="A23" s="22" t="s">
        <v>100</v>
      </c>
      <c r="B23" s="13">
        <v>43273</v>
      </c>
      <c r="C23" s="14">
        <v>0.51</v>
      </c>
      <c r="D23" s="24">
        <v>57</v>
      </c>
      <c r="E23" s="17">
        <v>170000000</v>
      </c>
      <c r="F23" s="17">
        <v>148024610</v>
      </c>
      <c r="G23" s="23">
        <v>1</v>
      </c>
      <c r="H23" s="20">
        <f t="shared" si="0"/>
        <v>0.3551715397877932</v>
      </c>
      <c r="I23" s="17">
        <v>416769345</v>
      </c>
      <c r="J23" s="21">
        <f t="shared" si="1"/>
        <v>2.8155409090420842</v>
      </c>
      <c r="K23" s="17">
        <v>888168610</v>
      </c>
      <c r="L23" s="17">
        <f t="shared" si="2"/>
        <v>1304937955</v>
      </c>
      <c r="M23" s="13">
        <v>43377</v>
      </c>
    </row>
    <row r="24" spans="1:13" ht="15" customHeight="1">
      <c r="A24" s="22" t="s">
        <v>182</v>
      </c>
      <c r="B24" s="13">
        <v>43285</v>
      </c>
      <c r="C24" s="14">
        <v>0.53</v>
      </c>
      <c r="D24" s="24">
        <v>53</v>
      </c>
      <c r="E24" s="17">
        <v>13000000</v>
      </c>
      <c r="F24" s="17">
        <v>17374280</v>
      </c>
      <c r="G24" s="23">
        <v>4</v>
      </c>
      <c r="H24" s="20">
        <f t="shared" si="0"/>
        <v>0.25148652790548637</v>
      </c>
      <c r="I24" s="17">
        <v>69086325</v>
      </c>
      <c r="J24" s="21">
        <f t="shared" si="1"/>
        <v>3.9763561425279206</v>
      </c>
      <c r="K24" s="17">
        <v>67164285</v>
      </c>
      <c r="L24" s="17">
        <f t="shared" si="2"/>
        <v>136250610</v>
      </c>
      <c r="M24" s="13">
        <v>43349</v>
      </c>
    </row>
    <row r="25" spans="1:13" ht="15" customHeight="1">
      <c r="A25" s="25" t="s">
        <v>101</v>
      </c>
      <c r="B25" s="13">
        <v>43294</v>
      </c>
      <c r="C25" s="14">
        <v>0.48</v>
      </c>
      <c r="D25" s="24">
        <v>52</v>
      </c>
      <c r="E25" s="17">
        <v>125000000</v>
      </c>
      <c r="F25" s="17">
        <v>24905015</v>
      </c>
      <c r="G25" s="23">
        <v>3</v>
      </c>
      <c r="H25" s="20">
        <f t="shared" si="0"/>
        <v>0.36735035386489434</v>
      </c>
      <c r="I25" s="17">
        <v>67796355</v>
      </c>
      <c r="J25" s="21">
        <f t="shared" si="1"/>
        <v>2.722196914958694</v>
      </c>
      <c r="K25" s="17">
        <v>236307258</v>
      </c>
      <c r="L25" s="17">
        <f t="shared" si="2"/>
        <v>304103613</v>
      </c>
      <c r="M25" s="13">
        <v>43370</v>
      </c>
    </row>
    <row r="26" spans="1:13" ht="15" customHeight="1">
      <c r="A26" s="22" t="s">
        <v>102</v>
      </c>
      <c r="B26" s="13">
        <v>43301</v>
      </c>
      <c r="C26" s="14">
        <v>0.79</v>
      </c>
      <c r="D26" s="24">
        <v>63</v>
      </c>
      <c r="E26" s="17">
        <v>75000000</v>
      </c>
      <c r="F26" s="17">
        <v>34952180</v>
      </c>
      <c r="G26" s="23">
        <v>2</v>
      </c>
      <c r="H26" s="20">
        <f t="shared" si="0"/>
        <v>0.28973514181443377</v>
      </c>
      <c r="I26" s="17">
        <v>120634935</v>
      </c>
      <c r="J26" s="21">
        <f t="shared" si="1"/>
        <v>3.451428065431112</v>
      </c>
      <c r="K26" s="17">
        <v>272868985</v>
      </c>
      <c r="L26" s="17">
        <f t="shared" si="2"/>
        <v>393503920</v>
      </c>
      <c r="M26" s="13">
        <v>43384</v>
      </c>
    </row>
    <row r="27" spans="1:13" ht="15" customHeight="1">
      <c r="A27" s="22" t="s">
        <v>103</v>
      </c>
      <c r="B27" s="13">
        <v>43364</v>
      </c>
      <c r="C27" s="14">
        <v>0.67</v>
      </c>
      <c r="D27" s="15">
        <v>59</v>
      </c>
      <c r="E27" s="17">
        <v>42000000</v>
      </c>
      <c r="F27" s="17">
        <v>26608020</v>
      </c>
      <c r="G27" s="23">
        <v>1</v>
      </c>
      <c r="H27" s="20">
        <f t="shared" si="0"/>
        <v>0.38815665044169778</v>
      </c>
      <c r="I27" s="17">
        <v>68549695</v>
      </c>
      <c r="J27" s="21">
        <f t="shared" si="1"/>
        <v>2.5762794450695692</v>
      </c>
      <c r="K27" s="17">
        <v>62907452</v>
      </c>
      <c r="L27" s="17">
        <f t="shared" si="2"/>
        <v>131457147</v>
      </c>
      <c r="M27" s="13">
        <v>43468</v>
      </c>
    </row>
    <row r="28" spans="1:13" ht="15" customHeight="1">
      <c r="A28" s="22" t="s">
        <v>104</v>
      </c>
      <c r="B28" s="13">
        <v>43365</v>
      </c>
      <c r="C28" s="14">
        <v>0.28999999999999998</v>
      </c>
      <c r="D28" s="15">
        <v>45</v>
      </c>
      <c r="E28" s="17">
        <v>29000000</v>
      </c>
      <c r="F28" s="17">
        <v>27257615</v>
      </c>
      <c r="G28" s="23">
        <v>1</v>
      </c>
      <c r="H28" s="20">
        <f t="shared" si="0"/>
        <v>0.35244274146864596</v>
      </c>
      <c r="I28" s="17">
        <v>77339130</v>
      </c>
      <c r="J28" s="21">
        <f t="shared" si="1"/>
        <v>2.8373403175589647</v>
      </c>
      <c r="K28" s="17">
        <v>25643250</v>
      </c>
      <c r="L28" s="17">
        <f t="shared" si="2"/>
        <v>102982380</v>
      </c>
      <c r="M28" s="13">
        <v>43468</v>
      </c>
    </row>
    <row r="29" spans="1:13" ht="15" customHeight="1">
      <c r="A29" s="12" t="s">
        <v>105</v>
      </c>
      <c r="B29" s="13">
        <v>43365</v>
      </c>
      <c r="C29" s="14">
        <v>0.28999999999999998</v>
      </c>
      <c r="D29" s="15">
        <v>81</v>
      </c>
      <c r="E29" s="17">
        <v>59000000</v>
      </c>
      <c r="F29" s="17">
        <v>16006065</v>
      </c>
      <c r="G29" s="23">
        <v>3</v>
      </c>
      <c r="H29" s="20">
        <f t="shared" si="0"/>
        <v>0.35619260448260986</v>
      </c>
      <c r="I29" s="17">
        <v>44936545</v>
      </c>
      <c r="J29" s="21">
        <f t="shared" si="1"/>
        <v>2.8074698559577262</v>
      </c>
      <c r="K29" s="17">
        <v>59075443</v>
      </c>
      <c r="L29" s="17">
        <f t="shared" si="2"/>
        <v>104011988</v>
      </c>
      <c r="M29" s="13">
        <v>43468</v>
      </c>
    </row>
    <row r="30" spans="1:13" ht="15" customHeight="1">
      <c r="A30" s="22" t="s">
        <v>106</v>
      </c>
      <c r="B30" s="13">
        <v>43365</v>
      </c>
      <c r="C30" s="14">
        <v>0.28999999999999998</v>
      </c>
      <c r="D30" s="15">
        <v>68</v>
      </c>
      <c r="E30" s="17">
        <v>12500000</v>
      </c>
      <c r="F30" s="17">
        <v>76221545</v>
      </c>
      <c r="G30" s="23">
        <v>1</v>
      </c>
      <c r="H30" s="20">
        <f t="shared" si="0"/>
        <v>0.47835183331904019</v>
      </c>
      <c r="I30" s="17">
        <v>159342015</v>
      </c>
      <c r="J30" s="21">
        <f t="shared" si="1"/>
        <v>2.0905114820225696</v>
      </c>
      <c r="K30" s="17">
        <v>94346020</v>
      </c>
      <c r="L30" s="17">
        <f t="shared" si="2"/>
        <v>253688035</v>
      </c>
      <c r="M30" s="13">
        <v>43468</v>
      </c>
    </row>
    <row r="31" spans="1:13" ht="15" customHeight="1">
      <c r="A31" s="22" t="s">
        <v>207</v>
      </c>
      <c r="B31" s="13">
        <v>43365</v>
      </c>
      <c r="C31" s="14">
        <v>0.28999999999999998</v>
      </c>
      <c r="D31" s="15">
        <v>47</v>
      </c>
      <c r="E31" s="17">
        <v>25000000</v>
      </c>
      <c r="F31" s="17">
        <v>1638895</v>
      </c>
      <c r="G31" s="23">
        <v>12</v>
      </c>
      <c r="H31" s="20">
        <f t="shared" si="0"/>
        <v>0.38242393907892697</v>
      </c>
      <c r="I31" s="17">
        <v>4285545</v>
      </c>
      <c r="J31" s="21">
        <f t="shared" si="1"/>
        <v>2.6148990630882394</v>
      </c>
      <c r="K31" s="17">
        <v>153600000</v>
      </c>
      <c r="L31" s="17">
        <f t="shared" si="2"/>
        <v>157885545</v>
      </c>
      <c r="M31" s="13">
        <v>43426</v>
      </c>
    </row>
    <row r="32" spans="1:13" ht="15" customHeight="1">
      <c r="A32" s="22" t="s">
        <v>107</v>
      </c>
      <c r="B32" s="13">
        <v>43365</v>
      </c>
      <c r="C32" s="14">
        <v>0.28999999999999998</v>
      </c>
      <c r="D32" s="15">
        <v>59</v>
      </c>
      <c r="E32" s="17">
        <v>75000000</v>
      </c>
      <c r="F32" s="18">
        <v>67572855</v>
      </c>
      <c r="G32" s="19">
        <v>1</v>
      </c>
      <c r="H32" s="20">
        <f t="shared" si="0"/>
        <v>0.24969557973985385</v>
      </c>
      <c r="I32" s="17">
        <v>270620950</v>
      </c>
      <c r="J32" s="21">
        <f t="shared" si="1"/>
        <v>4.0048766623816618</v>
      </c>
      <c r="K32" s="17">
        <v>239931271</v>
      </c>
      <c r="L32" s="17">
        <f t="shared" si="2"/>
        <v>510552221</v>
      </c>
      <c r="M32" s="13">
        <v>43510</v>
      </c>
    </row>
    <row r="33" spans="1:13" ht="15" customHeight="1">
      <c r="A33" s="22" t="s">
        <v>203</v>
      </c>
      <c r="B33" s="13">
        <v>43420</v>
      </c>
      <c r="C33" s="14">
        <v>0.78</v>
      </c>
      <c r="D33" s="15">
        <v>72</v>
      </c>
      <c r="E33" s="17">
        <v>23000000</v>
      </c>
      <c r="F33" s="18">
        <v>5501520</v>
      </c>
      <c r="G33" s="19">
        <v>9</v>
      </c>
      <c r="H33" s="20">
        <f>F33/I33</f>
        <v>6.4662775536734635E-2</v>
      </c>
      <c r="I33" s="17">
        <v>85080171</v>
      </c>
      <c r="J33" s="21">
        <f>I33/F33</f>
        <v>15.464848078349256</v>
      </c>
      <c r="K33" s="17">
        <v>234657190</v>
      </c>
      <c r="L33" s="17">
        <f>I33+K33</f>
        <v>319737361</v>
      </c>
      <c r="M33" s="13">
        <v>43587</v>
      </c>
    </row>
    <row r="34" spans="1:13" ht="15" customHeight="1">
      <c r="A34" s="12" t="s">
        <v>109</v>
      </c>
      <c r="B34" s="13">
        <v>43448</v>
      </c>
      <c r="C34" s="14">
        <v>0.28000000000000003</v>
      </c>
      <c r="D34" s="15">
        <v>49</v>
      </c>
      <c r="E34" s="17">
        <v>100000000</v>
      </c>
      <c r="F34" s="17">
        <v>7559850</v>
      </c>
      <c r="G34" s="23">
        <v>5</v>
      </c>
      <c r="H34" s="20">
        <f>F34/I34</f>
        <v>0.49632557502855079</v>
      </c>
      <c r="I34" s="17">
        <v>15231635</v>
      </c>
      <c r="J34" s="21">
        <f>I34/F34</f>
        <v>2.0148065107111912</v>
      </c>
      <c r="K34" s="17">
        <v>86622906</v>
      </c>
      <c r="L34" s="17">
        <f>I34+K34</f>
        <v>101854541</v>
      </c>
      <c r="M34" s="13">
        <v>43482</v>
      </c>
    </row>
    <row r="35" spans="1:13" ht="15" customHeight="1">
      <c r="A35" s="12" t="s">
        <v>108</v>
      </c>
      <c r="B35" s="13">
        <v>43455</v>
      </c>
      <c r="C35" s="14">
        <v>0.25</v>
      </c>
      <c r="D35" s="15">
        <v>47</v>
      </c>
      <c r="E35" s="17">
        <v>39000000</v>
      </c>
      <c r="F35" s="17">
        <v>2354205</v>
      </c>
      <c r="G35" s="23">
        <v>9</v>
      </c>
      <c r="H35" s="20">
        <f t="shared" si="0"/>
        <v>0.21872073448091331</v>
      </c>
      <c r="I35" s="17">
        <v>10763520</v>
      </c>
      <c r="J35" s="21">
        <f t="shared" si="1"/>
        <v>4.5720402428845404</v>
      </c>
      <c r="K35" s="17">
        <v>2012612</v>
      </c>
      <c r="L35" s="17">
        <f t="shared" si="2"/>
        <v>12776132</v>
      </c>
      <c r="M35" s="13">
        <v>43482</v>
      </c>
    </row>
    <row r="36" spans="1:13" ht="15" customHeight="1">
      <c r="A36" s="22" t="s">
        <v>186</v>
      </c>
      <c r="B36" s="13">
        <v>43483</v>
      </c>
      <c r="C36" s="14">
        <v>0.37</v>
      </c>
      <c r="D36" s="24">
        <v>51</v>
      </c>
      <c r="E36" s="17">
        <v>20000000</v>
      </c>
      <c r="F36" s="17">
        <v>40328920</v>
      </c>
      <c r="G36" s="23">
        <v>1</v>
      </c>
      <c r="H36" s="20">
        <f t="shared" si="0"/>
        <v>0.36320906186296836</v>
      </c>
      <c r="I36" s="17">
        <v>111035005</v>
      </c>
      <c r="J36" s="21">
        <f t="shared" si="1"/>
        <v>2.7532352713635775</v>
      </c>
      <c r="K36" s="17">
        <v>135950571</v>
      </c>
      <c r="L36" s="17">
        <f t="shared" si="2"/>
        <v>246985576</v>
      </c>
      <c r="M36" s="13">
        <v>43559</v>
      </c>
    </row>
    <row r="37" spans="1:13" ht="15" customHeight="1">
      <c r="A37" s="22" t="s">
        <v>210</v>
      </c>
      <c r="B37" s="13">
        <v>43510</v>
      </c>
      <c r="C37" s="14">
        <v>0.68</v>
      </c>
      <c r="D37" s="24">
        <v>60</v>
      </c>
      <c r="E37" s="17">
        <v>9000000</v>
      </c>
      <c r="F37" s="17">
        <v>9497665</v>
      </c>
      <c r="G37" s="23">
        <v>5</v>
      </c>
      <c r="H37" s="20">
        <f t="shared" si="0"/>
        <v>0.33858506875590555</v>
      </c>
      <c r="I37" s="17">
        <v>28051045</v>
      </c>
      <c r="J37" s="21">
        <f t="shared" si="1"/>
        <v>2.9534675101722372</v>
      </c>
      <c r="K37" s="17">
        <v>36219483</v>
      </c>
      <c r="L37" s="17">
        <f t="shared" si="2"/>
        <v>64270528</v>
      </c>
      <c r="M37" s="13">
        <v>43559</v>
      </c>
    </row>
    <row r="38" spans="1:13" ht="15" customHeight="1">
      <c r="A38" s="22" t="s">
        <v>193</v>
      </c>
      <c r="B38" s="13">
        <v>43518</v>
      </c>
      <c r="C38" s="14">
        <v>0.91</v>
      </c>
      <c r="D38" s="24">
        <v>73</v>
      </c>
      <c r="E38" s="17">
        <v>129000000</v>
      </c>
      <c r="F38" s="17">
        <v>55022245</v>
      </c>
      <c r="G38" s="23">
        <v>1</v>
      </c>
      <c r="H38" s="20">
        <f t="shared" si="0"/>
        <v>0.34217919389739415</v>
      </c>
      <c r="I38" s="17">
        <v>160799505</v>
      </c>
      <c r="J38" s="21">
        <f t="shared" si="1"/>
        <v>2.9224453673237072</v>
      </c>
      <c r="K38" s="17">
        <v>359097143</v>
      </c>
      <c r="L38" s="17">
        <f t="shared" si="2"/>
        <v>519896648</v>
      </c>
      <c r="M38" s="13">
        <v>43629</v>
      </c>
    </row>
    <row r="39" spans="1:13" ht="15" customHeight="1">
      <c r="A39" s="22" t="s">
        <v>199</v>
      </c>
      <c r="B39" s="13">
        <v>43546</v>
      </c>
      <c r="C39" s="14">
        <v>0.94</v>
      </c>
      <c r="D39" s="24">
        <v>80</v>
      </c>
      <c r="E39" s="17">
        <v>20000000</v>
      </c>
      <c r="F39" s="17">
        <v>71117625</v>
      </c>
      <c r="G39" s="23">
        <v>1</v>
      </c>
      <c r="H39" s="20">
        <f t="shared" si="0"/>
        <v>0.4063726583436344</v>
      </c>
      <c r="I39" s="17">
        <v>175005930</v>
      </c>
      <c r="J39" s="21">
        <f t="shared" si="1"/>
        <v>2.46079547791423</v>
      </c>
      <c r="K39" s="17">
        <v>79658530</v>
      </c>
      <c r="L39" s="17">
        <f t="shared" si="2"/>
        <v>254664460</v>
      </c>
      <c r="M39" s="13">
        <v>43622</v>
      </c>
    </row>
    <row r="40" spans="1:13" ht="15" customHeight="1">
      <c r="A40" s="25" t="s">
        <v>190</v>
      </c>
      <c r="B40" s="13">
        <v>43567</v>
      </c>
      <c r="C40" s="14">
        <v>0.45</v>
      </c>
      <c r="D40" s="24">
        <v>49</v>
      </c>
      <c r="E40" s="17">
        <v>20000000</v>
      </c>
      <c r="F40" s="17">
        <v>15405455</v>
      </c>
      <c r="G40" s="23">
        <v>1</v>
      </c>
      <c r="H40" s="20">
        <f t="shared" si="0"/>
        <v>0.37875473644562763</v>
      </c>
      <c r="I40" s="17">
        <v>40673960</v>
      </c>
      <c r="J40" s="21">
        <f t="shared" si="1"/>
        <v>2.6402310090808743</v>
      </c>
      <c r="K40" s="17">
        <v>8126615</v>
      </c>
      <c r="L40" s="17">
        <f t="shared" si="2"/>
        <v>48800575</v>
      </c>
      <c r="M40" s="13">
        <v>43622</v>
      </c>
    </row>
    <row r="41" spans="1:13" ht="15" customHeight="1">
      <c r="A41" s="22" t="s">
        <v>211</v>
      </c>
      <c r="B41" s="13">
        <v>43602</v>
      </c>
      <c r="C41" s="14">
        <v>0.47</v>
      </c>
      <c r="D41" s="24">
        <v>51</v>
      </c>
      <c r="E41" s="17">
        <v>16000000</v>
      </c>
      <c r="F41" s="17">
        <v>8030085</v>
      </c>
      <c r="G41" s="23">
        <v>4</v>
      </c>
      <c r="H41" s="20">
        <f t="shared" si="0"/>
        <v>0.35615518799073387</v>
      </c>
      <c r="I41" s="17">
        <v>22546590</v>
      </c>
      <c r="J41" s="21">
        <f t="shared" si="1"/>
        <v>2.8077647995008772</v>
      </c>
      <c r="K41" s="17">
        <v>44900000</v>
      </c>
      <c r="L41" s="17">
        <f t="shared" si="2"/>
        <v>67446590</v>
      </c>
      <c r="M41" s="13">
        <v>43664</v>
      </c>
    </row>
    <row r="42" spans="1:13" ht="15" customHeight="1">
      <c r="A42" s="22" t="s">
        <v>250</v>
      </c>
      <c r="B42" s="13">
        <v>43616</v>
      </c>
      <c r="C42" s="14">
        <v>0.57999999999999996</v>
      </c>
      <c r="D42" s="24">
        <v>57</v>
      </c>
      <c r="E42" s="17">
        <v>5000000</v>
      </c>
      <c r="F42" s="17">
        <v>18099805</v>
      </c>
      <c r="G42" s="23">
        <v>1</v>
      </c>
      <c r="H42" s="20">
        <f t="shared" si="0"/>
        <v>0.3989103019585164</v>
      </c>
      <c r="I42" s="17">
        <v>45373120</v>
      </c>
      <c r="J42" s="21">
        <f t="shared" si="1"/>
        <v>2.5068292172208486</v>
      </c>
      <c r="K42" s="17">
        <v>15209644</v>
      </c>
      <c r="L42" s="17">
        <f t="shared" si="2"/>
        <v>60582764</v>
      </c>
      <c r="M42" s="13">
        <v>43664</v>
      </c>
    </row>
    <row r="43" spans="1:13" ht="15" customHeight="1">
      <c r="A43" s="22" t="s">
        <v>189</v>
      </c>
      <c r="B43" s="13">
        <v>43623</v>
      </c>
      <c r="C43" s="14">
        <v>0.59</v>
      </c>
      <c r="D43" s="24">
        <v>58</v>
      </c>
      <c r="E43" s="17">
        <v>80000000</v>
      </c>
      <c r="F43" s="17">
        <v>46652680</v>
      </c>
      <c r="G43" s="23">
        <v>1</v>
      </c>
      <c r="H43" s="20">
        <f t="shared" si="0"/>
        <v>0.29479013175161345</v>
      </c>
      <c r="I43" s="17">
        <v>158257265</v>
      </c>
      <c r="J43" s="21">
        <f t="shared" si="1"/>
        <v>3.3922438110736617</v>
      </c>
      <c r="K43" s="17">
        <v>269800000</v>
      </c>
      <c r="L43" s="17">
        <f t="shared" si="2"/>
        <v>428057265</v>
      </c>
      <c r="M43" s="13">
        <v>43727</v>
      </c>
    </row>
    <row r="44" spans="1:13" ht="15" customHeight="1">
      <c r="A44" s="22" t="s">
        <v>251</v>
      </c>
      <c r="B44" s="13">
        <v>43644</v>
      </c>
      <c r="C44" s="14">
        <v>0.63</v>
      </c>
      <c r="D44" s="24">
        <v>64</v>
      </c>
      <c r="E44" s="17">
        <v>26000000</v>
      </c>
      <c r="F44" s="17">
        <v>17010050</v>
      </c>
      <c r="G44" s="23">
        <v>3</v>
      </c>
      <c r="H44" s="20">
        <f t="shared" si="0"/>
        <v>0.23210298192099107</v>
      </c>
      <c r="I44" s="17">
        <v>73286650</v>
      </c>
      <c r="J44" s="21">
        <f t="shared" si="1"/>
        <v>4.3084323679236682</v>
      </c>
      <c r="K44" s="17">
        <v>69000000</v>
      </c>
      <c r="L44" s="17">
        <f t="shared" si="2"/>
        <v>142286650</v>
      </c>
      <c r="M44" s="13">
        <v>43713</v>
      </c>
    </row>
    <row r="45" spans="1:13" ht="15" customHeight="1">
      <c r="A45" s="22" t="s">
        <v>252</v>
      </c>
      <c r="B45" s="13">
        <v>43679</v>
      </c>
      <c r="C45" s="14">
        <v>0.67</v>
      </c>
      <c r="D45" s="24">
        <v>61</v>
      </c>
      <c r="E45" s="17">
        <v>200000000</v>
      </c>
      <c r="F45" s="17">
        <v>60038950</v>
      </c>
      <c r="G45" s="23">
        <v>1</v>
      </c>
      <c r="H45" s="20">
        <f t="shared" si="0"/>
        <v>0.35170322617493355</v>
      </c>
      <c r="I45" s="17">
        <v>170709125</v>
      </c>
      <c r="J45" s="21">
        <f t="shared" si="1"/>
        <v>2.8433063036578754</v>
      </c>
      <c r="K45" s="17">
        <v>579500000</v>
      </c>
      <c r="L45" s="17">
        <f t="shared" si="2"/>
        <v>750209125</v>
      </c>
      <c r="M45" s="13"/>
    </row>
    <row r="46" spans="1:13" ht="15" customHeight="1">
      <c r="A46" s="22" t="s">
        <v>310</v>
      </c>
      <c r="B46" s="13">
        <v>43693</v>
      </c>
      <c r="C46" s="14">
        <v>0.78</v>
      </c>
      <c r="D46" s="24">
        <v>65</v>
      </c>
      <c r="E46" s="17">
        <v>20000000</v>
      </c>
      <c r="F46" s="17">
        <v>21402605</v>
      </c>
      <c r="G46" s="23">
        <v>1</v>
      </c>
      <c r="H46" s="20">
        <f t="shared" si="0"/>
        <v>0.27579020383569752</v>
      </c>
      <c r="I46" s="17">
        <v>77604660</v>
      </c>
      <c r="J46" s="21">
        <f t="shared" si="1"/>
        <v>3.6259445988000061</v>
      </c>
      <c r="K46" s="17">
        <v>21400000</v>
      </c>
      <c r="L46" s="17">
        <f t="shared" si="2"/>
        <v>99004660</v>
      </c>
      <c r="M46" s="13"/>
    </row>
    <row r="47" spans="1:13" ht="15" customHeight="1">
      <c r="A47" s="15" t="s">
        <v>212</v>
      </c>
      <c r="B47" s="13">
        <v>43728</v>
      </c>
      <c r="C47" s="14"/>
      <c r="D47" s="24"/>
      <c r="E47" s="17"/>
      <c r="F47" s="17"/>
      <c r="G47" s="23"/>
      <c r="H47" s="20" t="e">
        <f t="shared" si="0"/>
        <v>#DIV/0!</v>
      </c>
      <c r="I47" s="17"/>
      <c r="J47" s="21" t="e">
        <f t="shared" si="1"/>
        <v>#DIV/0!</v>
      </c>
      <c r="K47" s="17"/>
      <c r="L47" s="17">
        <f t="shared" si="2"/>
        <v>0</v>
      </c>
      <c r="M47" s="13"/>
    </row>
    <row r="48" spans="1:13" ht="15" customHeight="1">
      <c r="A48" s="15" t="s">
        <v>196</v>
      </c>
      <c r="B48" s="13">
        <v>43735</v>
      </c>
      <c r="C48" s="14"/>
      <c r="D48" s="24"/>
      <c r="E48" s="17"/>
      <c r="F48" s="17"/>
      <c r="G48" s="23"/>
      <c r="H48" s="20" t="e">
        <f t="shared" si="0"/>
        <v>#DIV/0!</v>
      </c>
      <c r="I48" s="17"/>
      <c r="J48" s="21" t="e">
        <f t="shared" si="1"/>
        <v>#DIV/0!</v>
      </c>
      <c r="K48" s="17"/>
      <c r="L48" s="17">
        <f t="shared" si="2"/>
        <v>0</v>
      </c>
      <c r="M48" s="13"/>
    </row>
    <row r="49" spans="1:13" ht="15" customHeight="1">
      <c r="A49" s="15" t="s">
        <v>187</v>
      </c>
      <c r="B49" s="13">
        <v>43735</v>
      </c>
      <c r="C49" s="14"/>
      <c r="D49" s="24"/>
      <c r="E49" s="17"/>
      <c r="F49" s="17"/>
      <c r="G49" s="23"/>
      <c r="H49" s="20" t="e">
        <f t="shared" si="0"/>
        <v>#DIV/0!</v>
      </c>
      <c r="I49" s="17"/>
      <c r="J49" s="21" t="e">
        <f t="shared" si="1"/>
        <v>#DIV/0!</v>
      </c>
      <c r="K49" s="17"/>
      <c r="L49" s="17">
        <f t="shared" si="2"/>
        <v>0</v>
      </c>
      <c r="M49" s="13"/>
    </row>
    <row r="50" spans="1:13" ht="15" customHeight="1">
      <c r="A50" s="15" t="s">
        <v>191</v>
      </c>
      <c r="B50" s="13">
        <v>43777</v>
      </c>
      <c r="C50" s="14"/>
      <c r="D50" s="24"/>
      <c r="E50" s="17"/>
      <c r="F50" s="18"/>
      <c r="G50" s="19"/>
      <c r="H50" s="20" t="e">
        <f t="shared" si="0"/>
        <v>#DIV/0!</v>
      </c>
      <c r="I50" s="17"/>
      <c r="J50" s="21" t="e">
        <f t="shared" si="1"/>
        <v>#DIV/0!</v>
      </c>
      <c r="K50" s="17"/>
      <c r="L50" s="17">
        <f t="shared" si="2"/>
        <v>0</v>
      </c>
      <c r="M50" s="13"/>
    </row>
    <row r="51" spans="1:13" ht="15" customHeight="1">
      <c r="A51" s="15" t="s">
        <v>215</v>
      </c>
      <c r="B51" s="13">
        <v>43784</v>
      </c>
      <c r="C51" s="14"/>
      <c r="D51" s="24"/>
      <c r="E51" s="17"/>
      <c r="F51" s="17"/>
      <c r="G51" s="23"/>
      <c r="H51" s="20" t="e">
        <f t="shared" si="0"/>
        <v>#DIV/0!</v>
      </c>
      <c r="I51" s="17"/>
      <c r="J51" s="21" t="e">
        <f t="shared" si="1"/>
        <v>#DIV/0!</v>
      </c>
      <c r="K51" s="17"/>
      <c r="L51" s="17">
        <f t="shared" si="2"/>
        <v>0</v>
      </c>
      <c r="M51" s="13"/>
    </row>
    <row r="52" spans="1:13" ht="15" customHeight="1">
      <c r="A52" s="15" t="s">
        <v>213</v>
      </c>
      <c r="B52" s="13">
        <v>43796</v>
      </c>
      <c r="C52" s="14"/>
      <c r="D52" s="24"/>
      <c r="E52" s="17"/>
      <c r="F52" s="17"/>
      <c r="G52" s="23"/>
      <c r="H52" s="20" t="e">
        <f t="shared" si="0"/>
        <v>#DIV/0!</v>
      </c>
      <c r="I52" s="17"/>
      <c r="J52" s="21" t="e">
        <f t="shared" si="1"/>
        <v>#DIV/0!</v>
      </c>
      <c r="K52" s="17"/>
      <c r="L52" s="17">
        <f t="shared" si="2"/>
        <v>0</v>
      </c>
      <c r="M52" s="13"/>
    </row>
    <row r="53" spans="1:13" ht="15" customHeight="1">
      <c r="A53" s="15" t="s">
        <v>187</v>
      </c>
      <c r="B53" s="13">
        <v>43812</v>
      </c>
      <c r="C53" s="14"/>
      <c r="D53" s="24"/>
      <c r="E53" s="17"/>
      <c r="F53" s="17"/>
      <c r="G53" s="23"/>
      <c r="H53" s="20" t="e">
        <f t="shared" si="0"/>
        <v>#DIV/0!</v>
      </c>
      <c r="I53" s="17"/>
      <c r="J53" s="21" t="e">
        <f t="shared" si="1"/>
        <v>#DIV/0!</v>
      </c>
      <c r="K53" s="17"/>
      <c r="L53" s="17">
        <f t="shared" si="2"/>
        <v>0</v>
      </c>
      <c r="M53" s="13"/>
    </row>
    <row r="54" spans="1:13" ht="15" customHeight="1" thickBot="1">
      <c r="A54" s="29" t="s">
        <v>214</v>
      </c>
      <c r="B54" s="27">
        <v>43819</v>
      </c>
      <c r="C54" s="28"/>
      <c r="D54" s="42"/>
      <c r="E54" s="31"/>
      <c r="F54" s="31"/>
      <c r="G54" s="30"/>
      <c r="H54" s="32" t="e">
        <f t="shared" si="0"/>
        <v>#DIV/0!</v>
      </c>
      <c r="I54" s="31"/>
      <c r="J54" s="33" t="e">
        <f t="shared" si="1"/>
        <v>#DIV/0!</v>
      </c>
      <c r="K54" s="31"/>
      <c r="L54" s="31">
        <f t="shared" si="2"/>
        <v>0</v>
      </c>
      <c r="M54" s="27"/>
    </row>
    <row r="55" spans="1:13" ht="15" customHeight="1" thickTop="1">
      <c r="A55" s="37" t="s">
        <v>187</v>
      </c>
      <c r="B55" s="35">
        <v>43833</v>
      </c>
      <c r="C55" s="36"/>
      <c r="D55" s="43"/>
      <c r="E55" s="39"/>
      <c r="F55" s="39"/>
      <c r="G55" s="38"/>
      <c r="H55" s="40" t="e">
        <f t="shared" si="0"/>
        <v>#DIV/0!</v>
      </c>
      <c r="I55" s="39"/>
      <c r="J55" s="41" t="e">
        <f t="shared" si="1"/>
        <v>#DIV/0!</v>
      </c>
      <c r="K55" s="39"/>
      <c r="L55" s="39">
        <f t="shared" si="2"/>
        <v>0</v>
      </c>
      <c r="M55" s="35"/>
    </row>
    <row r="56" spans="1:13" ht="15" customHeight="1">
      <c r="A56" s="37">
        <v>1917</v>
      </c>
      <c r="B56" s="35">
        <v>43840</v>
      </c>
      <c r="C56" s="36"/>
      <c r="D56" s="43"/>
      <c r="E56" s="39"/>
      <c r="F56" s="39"/>
      <c r="G56" s="38"/>
      <c r="H56" s="40" t="e">
        <f t="shared" si="0"/>
        <v>#DIV/0!</v>
      </c>
      <c r="I56" s="39"/>
      <c r="J56" s="41" t="e">
        <f t="shared" si="1"/>
        <v>#DIV/0!</v>
      </c>
      <c r="K56" s="39"/>
      <c r="L56" s="39">
        <f t="shared" si="2"/>
        <v>0</v>
      </c>
      <c r="M56" s="35"/>
    </row>
    <row r="57" spans="1:13" ht="15" customHeight="1">
      <c r="A57" s="15" t="s">
        <v>188</v>
      </c>
      <c r="B57" s="13">
        <v>43847</v>
      </c>
      <c r="C57" s="14"/>
      <c r="D57" s="24"/>
      <c r="E57" s="17"/>
      <c r="F57" s="17"/>
      <c r="G57" s="23"/>
      <c r="H57" s="20" t="e">
        <f t="shared" si="0"/>
        <v>#DIV/0!</v>
      </c>
      <c r="I57" s="17"/>
      <c r="J57" s="21" t="e">
        <f t="shared" si="1"/>
        <v>#DIV/0!</v>
      </c>
      <c r="K57" s="17"/>
      <c r="L57" s="17">
        <f t="shared" si="2"/>
        <v>0</v>
      </c>
      <c r="M57" s="13"/>
    </row>
    <row r="58" spans="1:13" ht="15" customHeight="1">
      <c r="A58" s="15" t="s">
        <v>187</v>
      </c>
      <c r="B58" s="13">
        <v>43903</v>
      </c>
      <c r="C58" s="14"/>
      <c r="D58" s="24"/>
      <c r="E58" s="17"/>
      <c r="F58" s="17"/>
      <c r="G58" s="23"/>
      <c r="H58" s="20" t="e">
        <f t="shared" si="0"/>
        <v>#DIV/0!</v>
      </c>
      <c r="I58" s="17"/>
      <c r="J58" s="21" t="e">
        <f t="shared" si="1"/>
        <v>#DIV/0!</v>
      </c>
      <c r="K58" s="17"/>
      <c r="L58" s="17">
        <f t="shared" si="2"/>
        <v>0</v>
      </c>
      <c r="M58" s="13"/>
    </row>
    <row r="59" spans="1:13" ht="15" customHeight="1">
      <c r="A59" s="15" t="s">
        <v>216</v>
      </c>
      <c r="B59" s="13">
        <v>43931</v>
      </c>
      <c r="C59" s="14"/>
      <c r="D59" s="24"/>
      <c r="E59" s="17"/>
      <c r="F59" s="17"/>
      <c r="G59" s="23"/>
      <c r="H59" s="20" t="e">
        <f t="shared" si="0"/>
        <v>#DIV/0!</v>
      </c>
      <c r="I59" s="17"/>
      <c r="J59" s="21" t="e">
        <f t="shared" si="1"/>
        <v>#DIV/0!</v>
      </c>
      <c r="K59" s="17"/>
      <c r="L59" s="17">
        <f t="shared" si="2"/>
        <v>0</v>
      </c>
      <c r="M59" s="13"/>
    </row>
    <row r="60" spans="1:13" ht="15" customHeight="1">
      <c r="A60" s="15" t="s">
        <v>217</v>
      </c>
      <c r="B60" s="13">
        <v>43938</v>
      </c>
      <c r="C60" s="14"/>
      <c r="D60" s="24"/>
      <c r="E60" s="17"/>
      <c r="F60" s="17"/>
      <c r="G60" s="23"/>
      <c r="H60" s="20" t="e">
        <f t="shared" si="0"/>
        <v>#DIV/0!</v>
      </c>
      <c r="I60" s="17"/>
      <c r="J60" s="21" t="e">
        <f t="shared" si="1"/>
        <v>#DIV/0!</v>
      </c>
      <c r="K60" s="17"/>
      <c r="L60" s="17">
        <f t="shared" si="2"/>
        <v>0</v>
      </c>
      <c r="M60" s="13"/>
    </row>
    <row r="61" spans="1:13" ht="15" customHeight="1">
      <c r="A61" s="15" t="s">
        <v>191</v>
      </c>
      <c r="B61" s="13">
        <v>43939</v>
      </c>
      <c r="C61" s="14"/>
      <c r="D61" s="24"/>
      <c r="E61" s="17"/>
      <c r="F61" s="17"/>
      <c r="G61" s="23"/>
      <c r="H61" s="20" t="e">
        <f t="shared" si="0"/>
        <v>#DIV/0!</v>
      </c>
      <c r="I61" s="17"/>
      <c r="J61" s="21" t="e">
        <f t="shared" si="1"/>
        <v>#DIV/0!</v>
      </c>
      <c r="K61" s="17"/>
      <c r="L61" s="17">
        <f t="shared" si="2"/>
        <v>0</v>
      </c>
      <c r="M61" s="13"/>
    </row>
    <row r="62" spans="1:13" ht="15" customHeight="1">
      <c r="A62" s="15" t="s">
        <v>218</v>
      </c>
      <c r="B62" s="13">
        <v>43939</v>
      </c>
      <c r="C62" s="14"/>
      <c r="D62" s="24"/>
      <c r="E62" s="17"/>
      <c r="F62" s="17"/>
      <c r="G62" s="23"/>
      <c r="H62" s="20" t="e">
        <f t="shared" si="0"/>
        <v>#DIV/0!</v>
      </c>
      <c r="I62" s="17"/>
      <c r="J62" s="21" t="e">
        <f t="shared" si="1"/>
        <v>#DIV/0!</v>
      </c>
      <c r="K62" s="17"/>
      <c r="L62" s="17">
        <f t="shared" si="2"/>
        <v>0</v>
      </c>
      <c r="M62" s="13"/>
    </row>
    <row r="63" spans="1:13" ht="15" customHeight="1">
      <c r="A63" s="15" t="s">
        <v>273</v>
      </c>
      <c r="B63" s="13">
        <v>43939</v>
      </c>
      <c r="C63" s="14"/>
      <c r="D63" s="24"/>
      <c r="E63" s="17"/>
      <c r="F63" s="17"/>
      <c r="G63" s="23"/>
      <c r="H63" s="20" t="e">
        <f t="shared" si="0"/>
        <v>#DIV/0!</v>
      </c>
      <c r="I63" s="17"/>
      <c r="J63" s="21" t="e">
        <f t="shared" si="1"/>
        <v>#DIV/0!</v>
      </c>
      <c r="K63" s="17"/>
      <c r="L63" s="17">
        <f t="shared" si="2"/>
        <v>0</v>
      </c>
      <c r="M63" s="13"/>
    </row>
    <row r="64" spans="1:13" ht="15" customHeight="1">
      <c r="A64" s="15" t="s">
        <v>219</v>
      </c>
      <c r="B64" s="13">
        <v>43939</v>
      </c>
      <c r="C64" s="14"/>
      <c r="D64" s="24"/>
      <c r="E64" s="17"/>
      <c r="F64" s="17"/>
      <c r="G64" s="23"/>
      <c r="H64" s="20" t="e">
        <f t="shared" si="0"/>
        <v>#DIV/0!</v>
      </c>
      <c r="I64" s="17"/>
      <c r="J64" s="21" t="e">
        <f t="shared" si="1"/>
        <v>#DIV/0!</v>
      </c>
      <c r="K64" s="17"/>
      <c r="L64" s="17">
        <f t="shared" si="2"/>
        <v>0</v>
      </c>
      <c r="M64" s="13"/>
    </row>
    <row r="65" spans="1:13" ht="15" customHeight="1">
      <c r="A65" s="15" t="s">
        <v>220</v>
      </c>
      <c r="B65" s="13">
        <v>43939</v>
      </c>
      <c r="C65" s="14"/>
      <c r="D65" s="24"/>
      <c r="E65" s="17"/>
      <c r="F65" s="17"/>
      <c r="G65" s="23"/>
      <c r="H65" s="20" t="e">
        <f t="shared" si="0"/>
        <v>#DIV/0!</v>
      </c>
      <c r="I65" s="17"/>
      <c r="J65" s="21" t="e">
        <f t="shared" si="1"/>
        <v>#DIV/0!</v>
      </c>
      <c r="K65" s="17"/>
      <c r="L65" s="17">
        <f t="shared" si="2"/>
        <v>0</v>
      </c>
      <c r="M65" s="13"/>
    </row>
    <row r="66" spans="1:13" ht="15" customHeight="1">
      <c r="A66" s="15" t="s">
        <v>197</v>
      </c>
      <c r="B66" s="13">
        <v>44092</v>
      </c>
      <c r="C66" s="14"/>
      <c r="D66" s="24"/>
      <c r="E66" s="17"/>
      <c r="F66" s="17"/>
      <c r="G66" s="23"/>
      <c r="H66" s="20" t="e">
        <f t="shared" si="0"/>
        <v>#DIV/0!</v>
      </c>
      <c r="I66" s="17"/>
      <c r="J66" s="21" t="e">
        <f t="shared" si="1"/>
        <v>#DIV/0!</v>
      </c>
      <c r="K66" s="17"/>
      <c r="L66" s="17">
        <f t="shared" si="2"/>
        <v>0</v>
      </c>
      <c r="M66" s="13"/>
    </row>
    <row r="67" spans="1:13" ht="15" customHeight="1">
      <c r="A67" s="15" t="s">
        <v>221</v>
      </c>
      <c r="B67" s="13">
        <v>44106</v>
      </c>
      <c r="C67" s="14"/>
      <c r="D67" s="24"/>
      <c r="E67" s="17"/>
      <c r="F67" s="17"/>
      <c r="G67" s="23"/>
      <c r="H67" s="20" t="e">
        <f t="shared" ref="H67:H74" si="3">F67/I67</f>
        <v>#DIV/0!</v>
      </c>
      <c r="I67" s="17"/>
      <c r="J67" s="21" t="e">
        <f t="shared" ref="J67:J74" si="4">I67/F67</f>
        <v>#DIV/0!</v>
      </c>
      <c r="K67" s="17"/>
      <c r="L67" s="17">
        <f t="shared" ref="L67:L74" si="5">I67+K67</f>
        <v>0</v>
      </c>
      <c r="M67" s="13"/>
    </row>
    <row r="68" spans="1:13" ht="15" customHeight="1">
      <c r="A68" s="15" t="s">
        <v>187</v>
      </c>
      <c r="B68" s="13">
        <v>44120</v>
      </c>
      <c r="C68" s="14"/>
      <c r="D68" s="24"/>
      <c r="E68" s="17"/>
      <c r="F68" s="17"/>
      <c r="G68" s="23"/>
      <c r="H68" s="20" t="e">
        <f t="shared" si="3"/>
        <v>#DIV/0!</v>
      </c>
      <c r="I68" s="17"/>
      <c r="J68" s="21" t="e">
        <f t="shared" si="4"/>
        <v>#DIV/0!</v>
      </c>
      <c r="K68" s="17"/>
      <c r="L68" s="17">
        <f t="shared" si="5"/>
        <v>0</v>
      </c>
      <c r="M68" s="13"/>
    </row>
    <row r="69" spans="1:13" ht="15" customHeight="1">
      <c r="A69" s="15" t="s">
        <v>222</v>
      </c>
      <c r="B69" s="13">
        <v>44148</v>
      </c>
      <c r="C69" s="14"/>
      <c r="D69" s="24"/>
      <c r="E69" s="17"/>
      <c r="F69" s="17"/>
      <c r="G69" s="23"/>
      <c r="H69" s="20" t="e">
        <f t="shared" si="3"/>
        <v>#DIV/0!</v>
      </c>
      <c r="I69" s="17"/>
      <c r="J69" s="21" t="e">
        <f t="shared" si="4"/>
        <v>#DIV/0!</v>
      </c>
      <c r="K69" s="17"/>
      <c r="L69" s="17">
        <f t="shared" si="5"/>
        <v>0</v>
      </c>
      <c r="M69" s="13"/>
    </row>
    <row r="70" spans="1:13" ht="15" customHeight="1">
      <c r="A70" s="15" t="s">
        <v>223</v>
      </c>
      <c r="B70" s="13">
        <v>44190</v>
      </c>
      <c r="C70" s="14"/>
      <c r="D70" s="24"/>
      <c r="E70" s="17"/>
      <c r="F70" s="17"/>
      <c r="G70" s="23"/>
      <c r="H70" s="20" t="e">
        <f t="shared" si="3"/>
        <v>#DIV/0!</v>
      </c>
      <c r="I70" s="17"/>
      <c r="J70" s="21" t="e">
        <f t="shared" si="4"/>
        <v>#DIV/0!</v>
      </c>
      <c r="K70" s="17"/>
      <c r="L70" s="17">
        <f t="shared" si="5"/>
        <v>0</v>
      </c>
      <c r="M70" s="13"/>
    </row>
    <row r="71" spans="1:13" ht="15" customHeight="1">
      <c r="A71" s="15"/>
      <c r="B71" s="55"/>
      <c r="C71" s="14"/>
      <c r="D71" s="24"/>
      <c r="E71" s="17"/>
      <c r="F71" s="17"/>
      <c r="G71" s="23"/>
      <c r="H71" s="20" t="e">
        <f t="shared" si="3"/>
        <v>#DIV/0!</v>
      </c>
      <c r="I71" s="17"/>
      <c r="J71" s="21" t="e">
        <f t="shared" si="4"/>
        <v>#DIV/0!</v>
      </c>
      <c r="K71" s="17"/>
      <c r="L71" s="17">
        <f t="shared" si="5"/>
        <v>0</v>
      </c>
      <c r="M71" s="13"/>
    </row>
    <row r="72" spans="1:13" ht="15" customHeight="1">
      <c r="A72" s="15"/>
      <c r="B72" s="13"/>
      <c r="C72" s="14"/>
      <c r="D72" s="24"/>
      <c r="E72" s="17"/>
      <c r="F72" s="17"/>
      <c r="G72" s="23"/>
      <c r="H72" s="20" t="e">
        <f t="shared" si="3"/>
        <v>#DIV/0!</v>
      </c>
      <c r="I72" s="17"/>
      <c r="J72" s="21" t="e">
        <f t="shared" si="4"/>
        <v>#DIV/0!</v>
      </c>
      <c r="K72" s="17"/>
      <c r="L72" s="17">
        <f t="shared" si="5"/>
        <v>0</v>
      </c>
      <c r="M72" s="13"/>
    </row>
    <row r="73" spans="1:13" ht="15" customHeight="1">
      <c r="A73" s="15"/>
      <c r="B73" s="13"/>
      <c r="C73" s="14"/>
      <c r="D73" s="24"/>
      <c r="E73" s="17"/>
      <c r="F73" s="17"/>
      <c r="G73" s="23"/>
      <c r="H73" s="20" t="e">
        <f t="shared" si="3"/>
        <v>#DIV/0!</v>
      </c>
      <c r="I73" s="17"/>
      <c r="J73" s="21" t="e">
        <f t="shared" si="4"/>
        <v>#DIV/0!</v>
      </c>
      <c r="K73" s="17"/>
      <c r="L73" s="17">
        <f t="shared" si="5"/>
        <v>0</v>
      </c>
      <c r="M73" s="13"/>
    </row>
    <row r="74" spans="1:13" ht="15" customHeight="1">
      <c r="A74" s="15"/>
      <c r="B74" s="13"/>
      <c r="C74" s="14"/>
      <c r="D74" s="24"/>
      <c r="E74" s="17"/>
      <c r="F74" s="17"/>
      <c r="G74" s="23"/>
      <c r="H74" s="20" t="e">
        <f t="shared" si="3"/>
        <v>#DIV/0!</v>
      </c>
      <c r="I74" s="17"/>
      <c r="J74" s="21" t="e">
        <f t="shared" si="4"/>
        <v>#DIV/0!</v>
      </c>
      <c r="K74" s="17"/>
      <c r="L74" s="17">
        <f t="shared" si="5"/>
        <v>0</v>
      </c>
      <c r="M74" s="13"/>
    </row>
  </sheetData>
  <sortState xmlns:xlrd2="http://schemas.microsoft.com/office/spreadsheetml/2017/richdata2" ref="A3:M35">
    <sortCondition ref="B30"/>
  </sortState>
  <mergeCells count="1">
    <mergeCell ref="A1:L1"/>
  </mergeCells>
  <conditionalFormatting sqref="D75:D1048576">
    <cfRule type="cellIs" dxfId="229" priority="36" operator="between">
      <formula>0.4</formula>
      <formula>0.59</formula>
    </cfRule>
    <cfRule type="cellIs" dxfId="228" priority="37" operator="between">
      <formula>0.01</formula>
      <formula>0.39</formula>
    </cfRule>
    <cfRule type="cellIs" dxfId="227" priority="38" operator="between">
      <formula>0.6</formula>
      <formula>0.79</formula>
    </cfRule>
    <cfRule type="cellIs" dxfId="226" priority="39" operator="between">
      <formula>0.8</formula>
      <formula>1</formula>
    </cfRule>
  </conditionalFormatting>
  <conditionalFormatting sqref="C3:D21">
    <cfRule type="cellIs" dxfId="225" priority="35" operator="between">
      <formula>0.005</formula>
      <formula>0.394999999999999</formula>
    </cfRule>
  </conditionalFormatting>
  <conditionalFormatting sqref="C3:D21">
    <cfRule type="cellIs" dxfId="224" priority="32" operator="between">
      <formula>0.745</formula>
      <formula>1</formula>
    </cfRule>
  </conditionalFormatting>
  <conditionalFormatting sqref="C3:D21">
    <cfRule type="cellIs" dxfId="223" priority="33" operator="between">
      <formula>0.595</formula>
      <formula>0.744999999999999</formula>
    </cfRule>
  </conditionalFormatting>
  <conditionalFormatting sqref="C3:D21">
    <cfRule type="cellIs" dxfId="222" priority="34" operator="between">
      <formula>0.395</formula>
      <formula>0.594999999999999</formula>
    </cfRule>
  </conditionalFormatting>
  <conditionalFormatting sqref="D1 D3:D21 D75:D1048576">
    <cfRule type="cellIs" dxfId="221" priority="28" operator="between">
      <formula>40</formula>
      <formula>59</formula>
    </cfRule>
    <cfRule type="cellIs" dxfId="220" priority="29" operator="between">
      <formula>1</formula>
      <formula>39</formula>
    </cfRule>
    <cfRule type="cellIs" dxfId="219" priority="30" operator="between">
      <formula>60</formula>
      <formula>70</formula>
    </cfRule>
    <cfRule type="cellIs" dxfId="218" priority="31" operator="between">
      <formula>71</formula>
      <formula>100</formula>
    </cfRule>
  </conditionalFormatting>
  <conditionalFormatting sqref="D2">
    <cfRule type="cellIs" dxfId="217" priority="24" operator="between">
      <formula>40</formula>
      <formula>59</formula>
    </cfRule>
    <cfRule type="cellIs" dxfId="216" priority="25" operator="between">
      <formula>1</formula>
      <formula>39</formula>
    </cfRule>
    <cfRule type="cellIs" dxfId="215" priority="27" operator="between">
      <formula>71</formula>
      <formula>100</formula>
    </cfRule>
  </conditionalFormatting>
  <conditionalFormatting sqref="D22:D35">
    <cfRule type="cellIs" dxfId="214" priority="21" operator="between">
      <formula>40</formula>
      <formula>1</formula>
    </cfRule>
    <cfRule type="cellIs" dxfId="213" priority="22" operator="between">
      <formula>40</formula>
      <formula>59</formula>
    </cfRule>
  </conditionalFormatting>
  <conditionalFormatting sqref="C22:C35">
    <cfRule type="cellIs" dxfId="212" priority="17" operator="between">
      <formula>0.39</formula>
      <formula>0.01</formula>
    </cfRule>
    <cfRule type="cellIs" dxfId="211" priority="18" operator="between">
      <formula>0.4</formula>
      <formula>0.59</formula>
    </cfRule>
    <cfRule type="cellIs" dxfId="210" priority="19" operator="between">
      <formula>0.6</formula>
      <formula>0.74</formula>
    </cfRule>
    <cfRule type="cellIs" dxfId="209" priority="20" operator="greaterThan">
      <formula>0.74</formula>
    </cfRule>
  </conditionalFormatting>
  <conditionalFormatting sqref="D3:D35">
    <cfRule type="cellIs" dxfId="208" priority="26" operator="between">
      <formula>60</formula>
      <formula>70</formula>
    </cfRule>
  </conditionalFormatting>
  <conditionalFormatting sqref="D27:D35">
    <cfRule type="cellIs" dxfId="207" priority="16" operator="between">
      <formula>0.005</formula>
      <formula>0.394999999999999</formula>
    </cfRule>
  </conditionalFormatting>
  <conditionalFormatting sqref="D27:D35">
    <cfRule type="cellIs" dxfId="206" priority="13" operator="between">
      <formula>0.745</formula>
      <formula>1</formula>
    </cfRule>
  </conditionalFormatting>
  <conditionalFormatting sqref="D27:D35">
    <cfRule type="cellIs" dxfId="205" priority="14" operator="between">
      <formula>0.595</formula>
      <formula>0.744999999999999</formula>
    </cfRule>
  </conditionalFormatting>
  <conditionalFormatting sqref="D27:D35">
    <cfRule type="cellIs" dxfId="204" priority="15" operator="between">
      <formula>0.395</formula>
      <formula>0.594999999999999</formula>
    </cfRule>
  </conditionalFormatting>
  <conditionalFormatting sqref="D27:D35">
    <cfRule type="cellIs" dxfId="203" priority="9" operator="between">
      <formula>40</formula>
      <formula>59</formula>
    </cfRule>
    <cfRule type="cellIs" dxfId="202" priority="10" operator="between">
      <formula>1</formula>
      <formula>39</formula>
    </cfRule>
    <cfRule type="cellIs" dxfId="201" priority="11" operator="between">
      <formula>60</formula>
      <formula>70</formula>
    </cfRule>
    <cfRule type="cellIs" dxfId="200" priority="12" operator="between">
      <formula>71</formula>
      <formula>100</formula>
    </cfRule>
  </conditionalFormatting>
  <conditionalFormatting sqref="C36:D74">
    <cfRule type="cellIs" dxfId="199" priority="8" operator="between">
      <formula>0.005</formula>
      <formula>0.394999999999999</formula>
    </cfRule>
  </conditionalFormatting>
  <conditionalFormatting sqref="C36:D74">
    <cfRule type="cellIs" dxfId="198" priority="5" operator="between">
      <formula>0.745</formula>
      <formula>1</formula>
    </cfRule>
  </conditionalFormatting>
  <conditionalFormatting sqref="C36:D74">
    <cfRule type="cellIs" dxfId="197" priority="6" operator="between">
      <formula>0.595</formula>
      <formula>0.744999999999999</formula>
    </cfRule>
  </conditionalFormatting>
  <conditionalFormatting sqref="C36:D74">
    <cfRule type="cellIs" dxfId="196" priority="7" operator="between">
      <formula>0.395</formula>
      <formula>0.594999999999999</formula>
    </cfRule>
  </conditionalFormatting>
  <conditionalFormatting sqref="D36:D74">
    <cfRule type="cellIs" dxfId="195" priority="1" operator="between">
      <formula>40</formula>
      <formula>59</formula>
    </cfRule>
    <cfRule type="cellIs" dxfId="194" priority="2" operator="between">
      <formula>1</formula>
      <formula>39</formula>
    </cfRule>
    <cfRule type="cellIs" dxfId="193" priority="3" operator="between">
      <formula>60</formula>
      <formula>70</formula>
    </cfRule>
    <cfRule type="cellIs" dxfId="192" priority="4" operator="between">
      <formula>71</formula>
      <formula>100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CFB59-B3C7-4A63-B567-193189D4A3E0}">
  <sheetPr codeName="Sheet4"/>
  <dimension ref="A1:Q5"/>
  <sheetViews>
    <sheetView zoomScaleNormal="100" workbookViewId="0">
      <selection activeCell="D6" sqref="D6"/>
    </sheetView>
  </sheetViews>
  <sheetFormatPr defaultColWidth="9.140625" defaultRowHeight="15" customHeight="1"/>
  <cols>
    <col min="1" max="1" width="4.85546875" style="53" bestFit="1" customWidth="1"/>
    <col min="2" max="2" width="26.140625" style="53" bestFit="1" customWidth="1"/>
    <col min="3" max="3" width="18.140625" style="53" bestFit="1" customWidth="1"/>
    <col min="4" max="4" width="7.140625" style="81" bestFit="1" customWidth="1"/>
    <col min="5" max="5" width="7.28515625" style="81" bestFit="1" customWidth="1"/>
    <col min="6" max="6" width="6.7109375" style="54" bestFit="1" customWidth="1"/>
    <col min="7" max="7" width="8.28515625" style="54" bestFit="1" customWidth="1"/>
    <col min="8" max="9" width="7.7109375" style="54" bestFit="1" customWidth="1"/>
    <col min="10" max="10" width="5.42578125" style="53" bestFit="1" customWidth="1"/>
    <col min="11" max="11" width="14.85546875" style="53" bestFit="1" customWidth="1"/>
    <col min="12" max="12" width="14" style="53" bestFit="1" customWidth="1"/>
    <col min="13" max="13" width="10.7109375" style="53" bestFit="1" customWidth="1"/>
    <col min="14" max="14" width="15.5703125" style="53" bestFit="1" customWidth="1"/>
    <col min="15" max="15" width="9.85546875" style="53" bestFit="1" customWidth="1"/>
    <col min="16" max="16" width="15.5703125" style="53" bestFit="1" customWidth="1"/>
    <col min="17" max="17" width="14.7109375" style="53" bestFit="1" customWidth="1"/>
    <col min="18" max="16384" width="9.140625" style="53"/>
  </cols>
  <sheetData>
    <row r="1" spans="1:17" ht="15" customHeight="1">
      <c r="A1" s="137" t="s">
        <v>194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79"/>
    </row>
    <row r="2" spans="1:17" s="80" customFormat="1" ht="15" customHeight="1">
      <c r="A2" s="2" t="s">
        <v>15</v>
      </c>
      <c r="B2" s="2" t="s">
        <v>19</v>
      </c>
      <c r="C2" s="3" t="s">
        <v>2</v>
      </c>
      <c r="D2" s="2" t="s">
        <v>91</v>
      </c>
      <c r="E2" s="4" t="s">
        <v>92</v>
      </c>
      <c r="F2" s="5" t="s">
        <v>93</v>
      </c>
      <c r="G2" s="4" t="s">
        <v>228</v>
      </c>
      <c r="H2" s="4" t="s">
        <v>229</v>
      </c>
      <c r="I2" s="5" t="s">
        <v>154</v>
      </c>
      <c r="J2" s="2" t="s">
        <v>85</v>
      </c>
      <c r="K2" s="6" t="s">
        <v>9</v>
      </c>
      <c r="L2" s="6" t="s">
        <v>0</v>
      </c>
      <c r="M2" s="8" t="s">
        <v>37</v>
      </c>
      <c r="N2" s="6" t="s">
        <v>8</v>
      </c>
      <c r="O2" s="9" t="s">
        <v>20</v>
      </c>
      <c r="P2" s="6" t="s">
        <v>21</v>
      </c>
      <c r="Q2" s="6" t="s">
        <v>225</v>
      </c>
    </row>
    <row r="3" spans="1:17" ht="15" customHeight="1">
      <c r="A3" s="15">
        <v>2</v>
      </c>
      <c r="B3" s="15" t="s">
        <v>194</v>
      </c>
      <c r="C3" s="13">
        <v>40263</v>
      </c>
      <c r="D3" s="23">
        <v>93</v>
      </c>
      <c r="E3" s="14">
        <f>205/208</f>
        <v>0.98557692307692313</v>
      </c>
      <c r="F3" s="23">
        <v>78.900000000000006</v>
      </c>
      <c r="G3" s="14">
        <f>46/48</f>
        <v>0.95833333333333337</v>
      </c>
      <c r="H3" s="23">
        <v>75.400000000000006</v>
      </c>
      <c r="I3" s="15">
        <v>75</v>
      </c>
      <c r="J3" s="15">
        <v>81</v>
      </c>
      <c r="K3" s="17">
        <v>165000000</v>
      </c>
      <c r="L3" s="17">
        <v>43732319</v>
      </c>
      <c r="M3" s="20">
        <f>L3/N3</f>
        <v>0.20099306727426319</v>
      </c>
      <c r="N3" s="17">
        <v>217581231</v>
      </c>
      <c r="O3" s="21">
        <f>N3/L3</f>
        <v>4.9752959819029945</v>
      </c>
      <c r="P3" s="17">
        <v>277297528</v>
      </c>
      <c r="Q3" s="17">
        <f>N3+P3</f>
        <v>494878759</v>
      </c>
    </row>
    <row r="4" spans="1:17" ht="15" customHeight="1">
      <c r="A4" s="15">
        <v>1</v>
      </c>
      <c r="B4" s="15" t="s">
        <v>195</v>
      </c>
      <c r="C4" s="13">
        <v>41803</v>
      </c>
      <c r="D4" s="15">
        <v>96</v>
      </c>
      <c r="E4" s="14">
        <f>165/180</f>
        <v>0.91666666666666663</v>
      </c>
      <c r="F4" s="23">
        <v>77.400000000000006</v>
      </c>
      <c r="G4" s="14">
        <f>42/45</f>
        <v>0.93333333333333335</v>
      </c>
      <c r="H4" s="23">
        <v>74.8</v>
      </c>
      <c r="I4" s="15">
        <v>76</v>
      </c>
      <c r="J4" s="15">
        <v>78</v>
      </c>
      <c r="K4" s="17">
        <v>145000000</v>
      </c>
      <c r="L4" s="17">
        <v>49451322</v>
      </c>
      <c r="M4" s="20">
        <f>L4/N4</f>
        <v>0.2793813846826621</v>
      </c>
      <c r="N4" s="17">
        <v>177002924</v>
      </c>
      <c r="O4" s="21">
        <f>N4/L4</f>
        <v>3.5793365443293914</v>
      </c>
      <c r="P4" s="17">
        <v>444534595</v>
      </c>
      <c r="Q4" s="17">
        <f>N4+P4</f>
        <v>621537519</v>
      </c>
    </row>
    <row r="5" spans="1:17" ht="15" customHeight="1">
      <c r="A5" s="15">
        <v>3</v>
      </c>
      <c r="B5" s="15" t="s">
        <v>227</v>
      </c>
      <c r="C5" s="13">
        <v>43518</v>
      </c>
      <c r="D5" s="23">
        <v>64</v>
      </c>
      <c r="E5" s="14">
        <f>229/253</f>
        <v>0.90513833992094861</v>
      </c>
      <c r="F5" s="23">
        <v>72.400000000000006</v>
      </c>
      <c r="G5" s="14">
        <f>28/36</f>
        <v>0.77777777777777779</v>
      </c>
      <c r="H5" s="23">
        <v>67.7</v>
      </c>
      <c r="I5" s="15">
        <v>71</v>
      </c>
      <c r="J5" s="15">
        <v>79</v>
      </c>
      <c r="K5" s="17">
        <v>129000000</v>
      </c>
      <c r="L5" s="17">
        <v>55022245</v>
      </c>
      <c r="M5" s="20">
        <f>L5/N5</f>
        <v>0.34217919389739415</v>
      </c>
      <c r="N5" s="17">
        <v>160799505</v>
      </c>
      <c r="O5" s="21">
        <f>N5/L5</f>
        <v>2.9224453673237072</v>
      </c>
      <c r="P5" s="17">
        <v>359097143</v>
      </c>
      <c r="Q5" s="17">
        <f>N5+P5</f>
        <v>519896648</v>
      </c>
    </row>
  </sheetData>
  <mergeCells count="1">
    <mergeCell ref="A1:O1"/>
  </mergeCells>
  <conditionalFormatting sqref="F6:I1048576">
    <cfRule type="cellIs" dxfId="191" priority="26" operator="between">
      <formula>0.4</formula>
      <formula>0.59</formula>
    </cfRule>
    <cfRule type="cellIs" dxfId="190" priority="27" operator="between">
      <formula>0.01</formula>
      <formula>0.39</formula>
    </cfRule>
    <cfRule type="cellIs" dxfId="189" priority="28" operator="between">
      <formula>0.6</formula>
      <formula>0.79</formula>
    </cfRule>
    <cfRule type="cellIs" dxfId="188" priority="29" operator="between">
      <formula>0.8</formula>
      <formula>1</formula>
    </cfRule>
  </conditionalFormatting>
  <conditionalFormatting sqref="J3:J5 D3:H5">
    <cfRule type="cellIs" dxfId="187" priority="25" operator="between">
      <formula>0.005</formula>
      <formula>0.394999999999999</formula>
    </cfRule>
  </conditionalFormatting>
  <conditionalFormatting sqref="J3:J5 D3:H5">
    <cfRule type="cellIs" dxfId="186" priority="22" operator="between">
      <formula>0.745</formula>
      <formula>1</formula>
    </cfRule>
  </conditionalFormatting>
  <conditionalFormatting sqref="J3:J5 D3:H5">
    <cfRule type="cellIs" dxfId="185" priority="23" operator="between">
      <formula>0.595</formula>
      <formula>0.744999999999999</formula>
    </cfRule>
  </conditionalFormatting>
  <conditionalFormatting sqref="J3:J5 D3:H5">
    <cfRule type="cellIs" dxfId="184" priority="24" operator="between">
      <formula>0.395</formula>
      <formula>0.594999999999999</formula>
    </cfRule>
  </conditionalFormatting>
  <conditionalFormatting sqref="F6:I1048576">
    <cfRule type="cellIs" dxfId="183" priority="18" operator="between">
      <formula>39.5</formula>
      <formula>59.499999999</formula>
    </cfRule>
    <cfRule type="cellIs" dxfId="182" priority="19" operator="between">
      <formula>1</formula>
      <formula>39.49999999</formula>
    </cfRule>
    <cfRule type="cellIs" dxfId="181" priority="20" operator="between">
      <formula>59.5</formula>
      <formula>70.4999999</formula>
    </cfRule>
    <cfRule type="cellIs" dxfId="180" priority="21" operator="between">
      <formula>70.5</formula>
      <formula>100</formula>
    </cfRule>
  </conditionalFormatting>
  <conditionalFormatting sqref="F3:F5">
    <cfRule type="cellIs" dxfId="179" priority="14" operator="between">
      <formula>40</formula>
      <formula>59</formula>
    </cfRule>
  </conditionalFormatting>
  <conditionalFormatting sqref="F2 I2">
    <cfRule type="cellIs" dxfId="178" priority="10" operator="between">
      <formula>40</formula>
      <formula>59</formula>
    </cfRule>
    <cfRule type="cellIs" dxfId="177" priority="11" operator="between">
      <formula>1</formula>
      <formula>39</formula>
    </cfRule>
    <cfRule type="cellIs" dxfId="176" priority="12" operator="between">
      <formula>60</formula>
      <formula>70</formula>
    </cfRule>
  </conditionalFormatting>
  <conditionalFormatting sqref="F3:F5">
    <cfRule type="cellIs" dxfId="175" priority="13" operator="between">
      <formula>71</formula>
      <formula>100</formula>
    </cfRule>
    <cfRule type="cellIs" dxfId="174" priority="15" operator="between">
      <formula>1</formula>
      <formula>39</formula>
    </cfRule>
    <cfRule type="cellIs" dxfId="173" priority="16" operator="between">
      <formula>60</formula>
      <formula>70</formula>
    </cfRule>
    <cfRule type="cellIs" dxfId="172" priority="17" operator="between">
      <formula>71</formula>
      <formula>100</formula>
    </cfRule>
  </conditionalFormatting>
  <conditionalFormatting sqref="H3:H5">
    <cfRule type="cellIs" dxfId="171" priority="2" operator="between">
      <formula>40</formula>
      <formula>59</formula>
    </cfRule>
  </conditionalFormatting>
  <conditionalFormatting sqref="H3:H5">
    <cfRule type="cellIs" dxfId="170" priority="1" operator="between">
      <formula>71</formula>
      <formula>100</formula>
    </cfRule>
    <cfRule type="cellIs" dxfId="169" priority="3" operator="between">
      <formula>1</formula>
      <formula>39</formula>
    </cfRule>
    <cfRule type="cellIs" dxfId="168" priority="4" operator="between">
      <formula>60</formula>
      <formula>70</formula>
    </cfRule>
    <cfRule type="cellIs" dxfId="167" priority="5" operator="between">
      <formula>71</formula>
      <formula>100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72B0F-D689-4F49-8371-35FFE706FB99}">
  <sheetPr codeName="Sheet6"/>
  <dimension ref="A1:AA38"/>
  <sheetViews>
    <sheetView topLeftCell="F1" zoomScale="90" workbookViewId="0">
      <selection activeCell="N13" sqref="K1:N13"/>
    </sheetView>
  </sheetViews>
  <sheetFormatPr defaultColWidth="8.85546875" defaultRowHeight="15"/>
  <cols>
    <col min="1" max="1" width="20.5703125" style="62" bestFit="1" customWidth="1"/>
    <col min="2" max="2" width="11" style="62" bestFit="1" customWidth="1"/>
    <col min="3" max="3" width="3.5703125" style="62" bestFit="1" customWidth="1"/>
    <col min="4" max="4" width="19" style="62" bestFit="1" customWidth="1"/>
    <col min="5" max="5" width="10.85546875" style="62" bestFit="1" customWidth="1"/>
    <col min="6" max="6" width="3.85546875" style="62" bestFit="1" customWidth="1"/>
    <col min="7" max="7" width="18" style="62" bestFit="1" customWidth="1"/>
    <col min="8" max="8" width="12.85546875" style="62" bestFit="1" customWidth="1"/>
    <col min="9" max="9" width="4.140625" style="62" bestFit="1" customWidth="1"/>
    <col min="10" max="10" width="8.85546875" style="62"/>
    <col min="11" max="11" width="25.42578125" style="62" bestFit="1" customWidth="1"/>
    <col min="12" max="12" width="11.5703125" style="62" bestFit="1" customWidth="1"/>
    <col min="13" max="14" width="4.5703125" style="62" bestFit="1" customWidth="1"/>
    <col min="15" max="15" width="14.5703125" style="62" bestFit="1" customWidth="1"/>
    <col min="16" max="16" width="16.28515625" style="62" bestFit="1" customWidth="1"/>
    <col min="17" max="17" width="15.140625" style="62" bestFit="1" customWidth="1"/>
    <col min="18" max="19" width="9" style="62" bestFit="1" customWidth="1"/>
    <col min="20" max="22" width="8.85546875" style="62"/>
    <col min="23" max="24" width="9" style="62" bestFit="1" customWidth="1"/>
    <col min="25" max="16384" width="8.85546875" style="62"/>
  </cols>
  <sheetData>
    <row r="1" spans="1:27">
      <c r="A1" s="2" t="s">
        <v>19</v>
      </c>
      <c r="B1" s="4" t="s">
        <v>286</v>
      </c>
      <c r="C1" s="5" t="s">
        <v>268</v>
      </c>
      <c r="D1" s="2" t="s">
        <v>19</v>
      </c>
      <c r="E1" s="4" t="s">
        <v>267</v>
      </c>
      <c r="F1" s="5" t="s">
        <v>268</v>
      </c>
      <c r="G1" s="2" t="s">
        <v>19</v>
      </c>
      <c r="H1" s="4" t="s">
        <v>267</v>
      </c>
      <c r="I1" s="5" t="s">
        <v>268</v>
      </c>
      <c r="K1" s="2" t="s">
        <v>19</v>
      </c>
      <c r="L1" s="4" t="s">
        <v>286</v>
      </c>
      <c r="M1" s="5" t="s">
        <v>268</v>
      </c>
      <c r="N1" s="77" t="s">
        <v>315</v>
      </c>
      <c r="O1" s="77" t="s">
        <v>316</v>
      </c>
      <c r="P1" s="77" t="s">
        <v>317</v>
      </c>
      <c r="Q1" s="77" t="s">
        <v>331</v>
      </c>
      <c r="U1" s="2" t="s">
        <v>19</v>
      </c>
      <c r="V1" s="4" t="s">
        <v>286</v>
      </c>
      <c r="W1" s="5" t="s">
        <v>268</v>
      </c>
      <c r="X1" s="77" t="s">
        <v>315</v>
      </c>
      <c r="Y1" s="77" t="s">
        <v>316</v>
      </c>
      <c r="Z1" s="77" t="s">
        <v>317</v>
      </c>
      <c r="AA1" s="77" t="s">
        <v>331</v>
      </c>
    </row>
    <row r="2" spans="1:27">
      <c r="A2" s="15" t="s">
        <v>72</v>
      </c>
      <c r="B2" s="76" t="s">
        <v>283</v>
      </c>
      <c r="C2" s="15">
        <v>95</v>
      </c>
      <c r="D2" s="15" t="s">
        <v>78</v>
      </c>
      <c r="E2" s="76" t="s">
        <v>291</v>
      </c>
      <c r="F2" s="15">
        <v>96</v>
      </c>
      <c r="G2" s="15" t="s">
        <v>5</v>
      </c>
      <c r="H2" s="76" t="s">
        <v>298</v>
      </c>
      <c r="I2" s="15">
        <v>94</v>
      </c>
      <c r="K2" s="15" t="s">
        <v>313</v>
      </c>
      <c r="L2" s="76" t="s">
        <v>505</v>
      </c>
      <c r="M2" s="15">
        <v>61</v>
      </c>
      <c r="N2" s="15">
        <v>75</v>
      </c>
      <c r="O2" s="15" t="s">
        <v>318</v>
      </c>
      <c r="P2" s="15" t="s">
        <v>319</v>
      </c>
      <c r="Q2" s="15" t="s">
        <v>200</v>
      </c>
      <c r="U2" s="15" t="s">
        <v>349</v>
      </c>
      <c r="V2" s="76" t="s">
        <v>360</v>
      </c>
      <c r="W2" s="15">
        <v>51</v>
      </c>
      <c r="X2" s="15">
        <v>65</v>
      </c>
      <c r="Y2" s="15" t="s">
        <v>361</v>
      </c>
      <c r="Z2" s="15" t="s">
        <v>362</v>
      </c>
      <c r="AA2" s="15"/>
    </row>
    <row r="3" spans="1:27">
      <c r="A3" s="15" t="s">
        <v>73</v>
      </c>
      <c r="B3" s="76" t="s">
        <v>284</v>
      </c>
      <c r="C3" s="15">
        <v>77</v>
      </c>
      <c r="D3" s="15" t="s">
        <v>79</v>
      </c>
      <c r="E3" s="76" t="s">
        <v>292</v>
      </c>
      <c r="F3" s="15">
        <v>95</v>
      </c>
      <c r="G3" s="15" t="s">
        <v>6</v>
      </c>
      <c r="H3" s="14" t="s">
        <v>299</v>
      </c>
      <c r="I3" s="15">
        <v>66</v>
      </c>
      <c r="K3" s="15" t="s">
        <v>314</v>
      </c>
      <c r="L3" s="76" t="s">
        <v>506</v>
      </c>
      <c r="M3" s="15">
        <v>67</v>
      </c>
      <c r="N3" s="15">
        <v>85</v>
      </c>
      <c r="O3" s="15" t="s">
        <v>320</v>
      </c>
      <c r="P3" s="15" t="s">
        <v>321</v>
      </c>
      <c r="Q3" s="15" t="s">
        <v>200</v>
      </c>
      <c r="U3" s="15" t="s">
        <v>350</v>
      </c>
      <c r="V3" s="76" t="s">
        <v>363</v>
      </c>
      <c r="W3" s="15">
        <v>54</v>
      </c>
      <c r="X3" s="15">
        <v>85</v>
      </c>
      <c r="Y3" s="15" t="s">
        <v>364</v>
      </c>
      <c r="Z3" s="15" t="s">
        <v>365</v>
      </c>
      <c r="AA3" s="15"/>
    </row>
    <row r="4" spans="1:27">
      <c r="A4" s="15" t="s">
        <v>74</v>
      </c>
      <c r="B4" s="76" t="s">
        <v>285</v>
      </c>
      <c r="C4" s="15">
        <v>88</v>
      </c>
      <c r="D4" s="15" t="s">
        <v>80</v>
      </c>
      <c r="E4" s="76" t="s">
        <v>293</v>
      </c>
      <c r="F4" s="15">
        <v>88</v>
      </c>
      <c r="G4" s="15" t="s">
        <v>7</v>
      </c>
      <c r="H4" s="76" t="s">
        <v>300</v>
      </c>
      <c r="I4" s="15">
        <v>77</v>
      </c>
      <c r="K4" s="15" t="s">
        <v>152</v>
      </c>
      <c r="L4" s="76" t="s">
        <v>322</v>
      </c>
      <c r="M4" s="15">
        <v>73</v>
      </c>
      <c r="N4" s="15">
        <v>85</v>
      </c>
      <c r="O4" s="15" t="s">
        <v>323</v>
      </c>
      <c r="P4" s="15" t="s">
        <v>324</v>
      </c>
      <c r="Q4" s="15" t="s">
        <v>201</v>
      </c>
      <c r="U4" s="15" t="s">
        <v>351</v>
      </c>
      <c r="V4" s="76" t="s">
        <v>366</v>
      </c>
      <c r="W4" s="15">
        <v>68</v>
      </c>
      <c r="X4" s="15">
        <v>85</v>
      </c>
      <c r="Y4" s="15" t="s">
        <v>367</v>
      </c>
      <c r="Z4" s="15" t="s">
        <v>368</v>
      </c>
      <c r="AA4" s="15"/>
    </row>
    <row r="5" spans="1:27">
      <c r="A5" s="15" t="s">
        <v>94</v>
      </c>
      <c r="B5" s="76" t="s">
        <v>287</v>
      </c>
      <c r="C5" s="15">
        <v>78</v>
      </c>
      <c r="D5" s="15" t="s">
        <v>81</v>
      </c>
      <c r="E5" s="76" t="s">
        <v>294</v>
      </c>
      <c r="F5" s="15">
        <v>92</v>
      </c>
      <c r="G5" s="15" t="s">
        <v>25</v>
      </c>
      <c r="H5" s="76" t="s">
        <v>301</v>
      </c>
      <c r="I5" s="15">
        <v>59</v>
      </c>
      <c r="K5" s="15" t="s">
        <v>146</v>
      </c>
      <c r="L5" s="76" t="s">
        <v>325</v>
      </c>
      <c r="M5" s="15">
        <v>71</v>
      </c>
      <c r="N5" s="15">
        <v>84</v>
      </c>
      <c r="O5" s="15" t="s">
        <v>326</v>
      </c>
      <c r="P5" s="15" t="s">
        <v>327</v>
      </c>
      <c r="Q5" s="15" t="s">
        <v>202</v>
      </c>
      <c r="R5" s="62">
        <v>89</v>
      </c>
      <c r="S5" s="62">
        <v>74.900000000000006</v>
      </c>
      <c r="U5" s="15" t="s">
        <v>352</v>
      </c>
      <c r="V5" s="76" t="s">
        <v>369</v>
      </c>
      <c r="W5" s="15">
        <v>90</v>
      </c>
      <c r="X5" s="15"/>
      <c r="Y5" s="15" t="s">
        <v>370</v>
      </c>
      <c r="Z5" s="15" t="s">
        <v>371</v>
      </c>
      <c r="AA5" s="15"/>
    </row>
    <row r="6" spans="1:27">
      <c r="A6" s="15" t="s">
        <v>75</v>
      </c>
      <c r="B6" s="14" t="s">
        <v>288</v>
      </c>
      <c r="C6" s="15">
        <v>90</v>
      </c>
      <c r="D6" s="15" t="s">
        <v>82</v>
      </c>
      <c r="E6" s="76" t="s">
        <v>295</v>
      </c>
      <c r="F6" s="15">
        <v>57</v>
      </c>
      <c r="G6" s="15" t="s">
        <v>27</v>
      </c>
      <c r="H6" s="76" t="s">
        <v>302</v>
      </c>
      <c r="I6" s="15">
        <v>81</v>
      </c>
      <c r="K6" s="15" t="s">
        <v>153</v>
      </c>
      <c r="L6" s="14" t="s">
        <v>328</v>
      </c>
      <c r="M6" s="15">
        <v>74</v>
      </c>
      <c r="N6" s="15">
        <v>75</v>
      </c>
      <c r="O6" s="15" t="s">
        <v>329</v>
      </c>
      <c r="P6" s="15" t="s">
        <v>330</v>
      </c>
      <c r="Q6" s="15" t="s">
        <v>200</v>
      </c>
      <c r="R6" s="62">
        <v>91</v>
      </c>
      <c r="S6" s="62">
        <v>72.3</v>
      </c>
      <c r="U6" s="15" t="s">
        <v>353</v>
      </c>
      <c r="V6" s="14" t="s">
        <v>372</v>
      </c>
      <c r="W6" s="15">
        <v>82</v>
      </c>
      <c r="X6" s="15"/>
      <c r="Y6" s="15" t="s">
        <v>373</v>
      </c>
      <c r="Z6" s="15" t="s">
        <v>374</v>
      </c>
      <c r="AA6" s="15"/>
    </row>
    <row r="7" spans="1:27">
      <c r="A7" s="15" t="s">
        <v>76</v>
      </c>
      <c r="B7" s="76" t="s">
        <v>289</v>
      </c>
      <c r="C7" s="15">
        <v>90</v>
      </c>
      <c r="D7" s="15" t="s">
        <v>83</v>
      </c>
      <c r="E7" s="76" t="s">
        <v>296</v>
      </c>
      <c r="F7" s="15">
        <v>69</v>
      </c>
      <c r="G7" s="15" t="s">
        <v>90</v>
      </c>
      <c r="H7" s="76" t="s">
        <v>303</v>
      </c>
      <c r="I7" s="15">
        <v>80</v>
      </c>
      <c r="K7" s="15" t="s">
        <v>147</v>
      </c>
      <c r="L7" s="76" t="s">
        <v>332</v>
      </c>
      <c r="M7" s="15">
        <v>72</v>
      </c>
      <c r="N7" s="15">
        <v>82</v>
      </c>
      <c r="O7" s="15" t="s">
        <v>333</v>
      </c>
      <c r="P7" s="15" t="s">
        <v>334</v>
      </c>
      <c r="Q7" s="15" t="s">
        <v>201</v>
      </c>
      <c r="R7" s="62">
        <v>87</v>
      </c>
      <c r="S7" s="62">
        <v>74</v>
      </c>
      <c r="U7" s="15" t="s">
        <v>354</v>
      </c>
      <c r="V7" s="76" t="s">
        <v>375</v>
      </c>
      <c r="W7" s="15">
        <v>58</v>
      </c>
      <c r="X7" s="15"/>
      <c r="Y7" s="15" t="s">
        <v>376</v>
      </c>
      <c r="Z7" s="15" t="s">
        <v>377</v>
      </c>
      <c r="AA7" s="15"/>
    </row>
    <row r="8" spans="1:27">
      <c r="A8" s="15" t="s">
        <v>77</v>
      </c>
      <c r="B8" s="76" t="s">
        <v>290</v>
      </c>
      <c r="C8" s="15">
        <v>73</v>
      </c>
      <c r="D8" s="15" t="s">
        <v>128</v>
      </c>
      <c r="E8" s="76" t="s">
        <v>297</v>
      </c>
      <c r="F8" s="15">
        <v>65</v>
      </c>
      <c r="G8" s="77" t="s">
        <v>33</v>
      </c>
      <c r="H8" s="78" t="s">
        <v>312</v>
      </c>
      <c r="I8" s="77">
        <v>84</v>
      </c>
      <c r="K8" s="15" t="s">
        <v>148</v>
      </c>
      <c r="L8" s="76" t="s">
        <v>335</v>
      </c>
      <c r="M8" s="15">
        <v>74</v>
      </c>
      <c r="N8" s="15">
        <v>88</v>
      </c>
      <c r="O8" s="15" t="s">
        <v>336</v>
      </c>
      <c r="P8" s="15" t="s">
        <v>337</v>
      </c>
      <c r="Q8" s="15" t="s">
        <v>202</v>
      </c>
      <c r="R8" s="62">
        <v>90</v>
      </c>
      <c r="S8" s="62">
        <v>76.900000000000006</v>
      </c>
      <c r="U8" s="15" t="s">
        <v>355</v>
      </c>
      <c r="V8" s="76" t="s">
        <v>378</v>
      </c>
      <c r="W8" s="15">
        <v>81</v>
      </c>
      <c r="X8" s="15">
        <v>91</v>
      </c>
      <c r="Y8" s="15" t="s">
        <v>379</v>
      </c>
      <c r="Z8" s="15" t="s">
        <v>380</v>
      </c>
      <c r="AA8" s="15"/>
    </row>
    <row r="9" spans="1:27">
      <c r="K9" s="15" t="s">
        <v>149</v>
      </c>
      <c r="L9" s="76" t="s">
        <v>338</v>
      </c>
      <c r="M9" s="15">
        <v>74</v>
      </c>
      <c r="N9" s="15">
        <v>85</v>
      </c>
      <c r="O9" s="15" t="s">
        <v>339</v>
      </c>
      <c r="P9" s="15" t="s">
        <v>340</v>
      </c>
      <c r="Q9" s="15" t="s">
        <v>201</v>
      </c>
      <c r="R9" s="62">
        <v>89</v>
      </c>
      <c r="S9" s="62">
        <v>73.400000000000006</v>
      </c>
      <c r="U9" s="15" t="s">
        <v>356</v>
      </c>
      <c r="V9" s="76" t="s">
        <v>381</v>
      </c>
      <c r="W9" s="15">
        <v>85</v>
      </c>
      <c r="X9" s="15">
        <v>90</v>
      </c>
      <c r="Y9" s="15" t="s">
        <v>382</v>
      </c>
      <c r="Z9" s="15" t="s">
        <v>383</v>
      </c>
      <c r="AA9" s="15"/>
    </row>
    <row r="10" spans="1:27">
      <c r="K10" s="15" t="s">
        <v>3</v>
      </c>
      <c r="L10" s="76" t="s">
        <v>341</v>
      </c>
      <c r="M10" s="15">
        <v>78</v>
      </c>
      <c r="N10" s="15">
        <v>91</v>
      </c>
      <c r="O10" s="15" t="s">
        <v>342</v>
      </c>
      <c r="P10" s="15" t="s">
        <v>343</v>
      </c>
      <c r="Q10" s="15" t="s">
        <v>201</v>
      </c>
      <c r="R10" s="62">
        <v>97</v>
      </c>
      <c r="S10" s="62">
        <v>80.7</v>
      </c>
      <c r="U10" s="15" t="s">
        <v>357</v>
      </c>
      <c r="V10" s="76"/>
      <c r="W10" s="15"/>
      <c r="X10" s="15"/>
      <c r="Y10" s="15"/>
      <c r="Z10" s="15"/>
      <c r="AA10" s="15"/>
    </row>
    <row r="11" spans="1:27">
      <c r="K11" s="15" t="s">
        <v>4</v>
      </c>
      <c r="L11" s="76" t="s">
        <v>344</v>
      </c>
      <c r="M11" s="15">
        <v>81</v>
      </c>
      <c r="N11" s="15">
        <v>89</v>
      </c>
      <c r="O11" s="15" t="s">
        <v>345</v>
      </c>
      <c r="P11" s="15" t="s">
        <v>343</v>
      </c>
      <c r="Q11" s="15" t="s">
        <v>201</v>
      </c>
      <c r="R11" s="62">
        <v>96</v>
      </c>
      <c r="S11" s="62">
        <v>78.8</v>
      </c>
      <c r="U11" s="15" t="s">
        <v>358</v>
      </c>
      <c r="V11" s="76"/>
      <c r="W11" s="15"/>
      <c r="X11" s="15">
        <v>86</v>
      </c>
      <c r="Y11" s="15"/>
      <c r="Z11" s="15"/>
      <c r="AA11" s="15"/>
    </row>
    <row r="12" spans="1:27">
      <c r="K12" s="15" t="s">
        <v>198</v>
      </c>
      <c r="L12" s="76" t="s">
        <v>346</v>
      </c>
      <c r="M12" s="15">
        <v>71</v>
      </c>
      <c r="N12" s="15">
        <v>83</v>
      </c>
      <c r="O12" s="15" t="s">
        <v>347</v>
      </c>
      <c r="P12" s="15" t="s">
        <v>348</v>
      </c>
      <c r="Q12" s="15" t="s">
        <v>200</v>
      </c>
      <c r="R12" s="62">
        <v>88</v>
      </c>
      <c r="S12" s="62">
        <v>73.2</v>
      </c>
      <c r="U12" s="15" t="s">
        <v>359</v>
      </c>
      <c r="V12" s="76"/>
      <c r="W12" s="15"/>
      <c r="X12" s="15">
        <v>77</v>
      </c>
      <c r="Y12" s="15"/>
      <c r="Z12" s="15"/>
      <c r="AA12" s="15"/>
    </row>
    <row r="13" spans="1:27">
      <c r="K13" s="15" t="s">
        <v>282</v>
      </c>
      <c r="L13" s="76" t="s">
        <v>503</v>
      </c>
      <c r="M13" s="15">
        <v>64</v>
      </c>
      <c r="N13" s="15">
        <v>79</v>
      </c>
      <c r="O13" s="15" t="s">
        <v>447</v>
      </c>
      <c r="P13" s="15" t="s">
        <v>448</v>
      </c>
      <c r="Q13" s="15" t="s">
        <v>200</v>
      </c>
      <c r="R13" s="62">
        <v>77</v>
      </c>
      <c r="S13" s="62">
        <v>67.400000000000006</v>
      </c>
    </row>
    <row r="14" spans="1:27">
      <c r="K14" s="15" t="s">
        <v>311</v>
      </c>
      <c r="L14" s="76" t="s">
        <v>504</v>
      </c>
      <c r="M14" s="15" t="s">
        <v>504</v>
      </c>
      <c r="N14" s="15">
        <v>93</v>
      </c>
      <c r="O14" s="15" t="s">
        <v>447</v>
      </c>
      <c r="P14" s="15" t="s">
        <v>448</v>
      </c>
      <c r="Q14" s="15" t="s">
        <v>200</v>
      </c>
    </row>
    <row r="38" spans="2:2">
      <c r="B38" s="1"/>
    </row>
  </sheetData>
  <conditionalFormatting sqref="C1">
    <cfRule type="cellIs" dxfId="166" priority="19" operator="between">
      <formula>40</formula>
      <formula>59</formula>
    </cfRule>
    <cfRule type="cellIs" dxfId="165" priority="20" operator="between">
      <formula>1</formula>
      <formula>39</formula>
    </cfRule>
    <cfRule type="cellIs" dxfId="164" priority="21" operator="between">
      <formula>60</formula>
      <formula>70</formula>
    </cfRule>
  </conditionalFormatting>
  <conditionalFormatting sqref="F1">
    <cfRule type="cellIs" dxfId="163" priority="16" operator="between">
      <formula>40</formula>
      <formula>59</formula>
    </cfRule>
    <cfRule type="cellIs" dxfId="162" priority="17" operator="between">
      <formula>1</formula>
      <formula>39</formula>
    </cfRule>
    <cfRule type="cellIs" dxfId="161" priority="18" operator="between">
      <formula>60</formula>
      <formula>70</formula>
    </cfRule>
  </conditionalFormatting>
  <conditionalFormatting sqref="I1">
    <cfRule type="cellIs" dxfId="160" priority="13" operator="between">
      <formula>40</formula>
      <formula>59</formula>
    </cfRule>
    <cfRule type="cellIs" dxfId="159" priority="14" operator="between">
      <formula>1</formula>
      <formula>39</formula>
    </cfRule>
    <cfRule type="cellIs" dxfId="158" priority="15" operator="between">
      <formula>60</formula>
      <formula>70</formula>
    </cfRule>
  </conditionalFormatting>
  <conditionalFormatting sqref="M1">
    <cfRule type="cellIs" dxfId="157" priority="10" operator="between">
      <formula>40</formula>
      <formula>59</formula>
    </cfRule>
    <cfRule type="cellIs" dxfId="156" priority="11" operator="between">
      <formula>1</formula>
      <formula>39</formula>
    </cfRule>
    <cfRule type="cellIs" dxfId="155" priority="12" operator="between">
      <formula>60</formula>
      <formula>70</formula>
    </cfRule>
  </conditionalFormatting>
  <conditionalFormatting sqref="W1">
    <cfRule type="cellIs" dxfId="154" priority="1" operator="between">
      <formula>40</formula>
      <formula>59</formula>
    </cfRule>
    <cfRule type="cellIs" dxfId="153" priority="2" operator="between">
      <formula>1</formula>
      <formula>39</formula>
    </cfRule>
    <cfRule type="cellIs" dxfId="152" priority="3" operator="between">
      <formula>60</formula>
      <formula>70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R45"/>
  <sheetViews>
    <sheetView zoomScale="87" zoomScaleNormal="89" workbookViewId="0">
      <selection activeCell="H22" sqref="H22"/>
    </sheetView>
  </sheetViews>
  <sheetFormatPr defaultColWidth="9.140625" defaultRowHeight="15" customHeight="1"/>
  <cols>
    <col min="1" max="1" width="5.7109375" style="99" bestFit="1" customWidth="1"/>
    <col min="2" max="2" width="19.5703125" style="100" bestFit="1" customWidth="1"/>
    <col min="3" max="3" width="19.7109375" style="62" bestFit="1" customWidth="1"/>
    <col min="4" max="4" width="8.7109375" style="74" bestFit="1" customWidth="1"/>
    <col min="5" max="5" width="9" style="98" customWidth="1"/>
    <col min="6" max="6" width="8.7109375" style="61" bestFit="1" customWidth="1"/>
    <col min="7" max="7" width="9.7109375" style="62" customWidth="1"/>
    <col min="8" max="8" width="15.140625" style="62" bestFit="1" customWidth="1"/>
    <col min="9" max="9" width="14.42578125" style="96" bestFit="1" customWidth="1"/>
    <col min="10" max="10" width="16.28515625" style="62" bestFit="1" customWidth="1"/>
    <col min="11" max="11" width="15" style="62" bestFit="1" customWidth="1"/>
    <col min="12" max="12" width="11.28515625" style="62" bestFit="1" customWidth="1"/>
    <col min="13" max="13" width="15" style="91" bestFit="1" customWidth="1"/>
    <col min="14" max="14" width="16.28515625" style="62" bestFit="1" customWidth="1"/>
    <col min="15" max="15" width="14.42578125" style="62" bestFit="1" customWidth="1"/>
    <col min="16" max="16" width="13" style="107" bestFit="1" customWidth="1"/>
    <col min="17" max="17" width="11.5703125" style="62" bestFit="1" customWidth="1"/>
    <col min="18" max="18" width="14.140625" style="62" bestFit="1" customWidth="1"/>
    <col min="19" max="16384" width="9.140625" style="62"/>
  </cols>
  <sheetData>
    <row r="1" spans="1:18" ht="15" customHeight="1">
      <c r="A1" s="7" t="s">
        <v>15</v>
      </c>
      <c r="B1" s="112" t="s">
        <v>19</v>
      </c>
      <c r="C1" s="113" t="s">
        <v>2</v>
      </c>
      <c r="D1" s="114" t="s">
        <v>460</v>
      </c>
      <c r="E1" s="115" t="s">
        <v>459</v>
      </c>
      <c r="F1" s="116" t="s">
        <v>461</v>
      </c>
      <c r="G1" s="117" t="s">
        <v>268</v>
      </c>
      <c r="H1" s="118" t="s">
        <v>9</v>
      </c>
      <c r="I1" s="118" t="s">
        <v>445</v>
      </c>
      <c r="J1" s="119" t="s">
        <v>37</v>
      </c>
      <c r="K1" s="118" t="s">
        <v>443</v>
      </c>
      <c r="L1" s="120" t="s">
        <v>269</v>
      </c>
      <c r="M1" s="120" t="s">
        <v>442</v>
      </c>
      <c r="N1" s="118" t="s">
        <v>444</v>
      </c>
      <c r="O1" s="121" t="s">
        <v>463</v>
      </c>
      <c r="P1" s="122" t="s">
        <v>464</v>
      </c>
      <c r="Q1" s="121" t="s">
        <v>467</v>
      </c>
      <c r="R1" s="121" t="s">
        <v>466</v>
      </c>
    </row>
    <row r="2" spans="1:18" ht="15" customHeight="1">
      <c r="A2" s="23">
        <v>10</v>
      </c>
      <c r="B2" s="15" t="s">
        <v>72</v>
      </c>
      <c r="C2" s="13">
        <v>35025</v>
      </c>
      <c r="D2" s="72">
        <v>90</v>
      </c>
      <c r="E2" s="14">
        <f>90/90</f>
        <v>1</v>
      </c>
      <c r="F2" s="24">
        <v>90.2</v>
      </c>
      <c r="G2" s="51">
        <v>95</v>
      </c>
      <c r="H2" s="17">
        <v>30000000</v>
      </c>
      <c r="I2" s="17">
        <v>29140617</v>
      </c>
      <c r="J2" s="20">
        <f t="shared" ref="J2:J23" si="0">I2/K2</f>
        <v>0.15193529374479425</v>
      </c>
      <c r="K2" s="17">
        <v>191796233</v>
      </c>
      <c r="L2" s="21">
        <f t="shared" ref="L2:L23" si="1">K2/I2</f>
        <v>6.5817492127912045</v>
      </c>
      <c r="M2" s="17">
        <v>181757800</v>
      </c>
      <c r="N2" s="17">
        <f t="shared" ref="N2:N24" si="2">K2+M2</f>
        <v>373554033</v>
      </c>
      <c r="O2" s="17">
        <f t="shared" ref="O2:O23" si="3">I2/P2</f>
        <v>11860.242979242979</v>
      </c>
      <c r="P2" s="108">
        <v>2457</v>
      </c>
      <c r="Q2" s="110">
        <f t="shared" ref="Q2:Q23" si="4">(R2/I2)-1</f>
        <v>-0.30802213281894475</v>
      </c>
      <c r="R2" s="17">
        <v>20164662</v>
      </c>
    </row>
    <row r="3" spans="1:18" ht="15" customHeight="1">
      <c r="A3" s="23">
        <v>15</v>
      </c>
      <c r="B3" s="15" t="s">
        <v>73</v>
      </c>
      <c r="C3" s="13">
        <v>36119</v>
      </c>
      <c r="D3" s="72">
        <v>78</v>
      </c>
      <c r="E3" s="14">
        <f>81/88</f>
        <v>0.92045454545454541</v>
      </c>
      <c r="F3" s="24">
        <v>78.7</v>
      </c>
      <c r="G3" s="51">
        <v>77</v>
      </c>
      <c r="H3" s="17">
        <v>120000000</v>
      </c>
      <c r="I3" s="17">
        <v>33258052</v>
      </c>
      <c r="J3" s="20">
        <f t="shared" si="0"/>
        <v>0.20428958940762162</v>
      </c>
      <c r="K3" s="17">
        <v>162798565</v>
      </c>
      <c r="L3" s="21">
        <f t="shared" si="1"/>
        <v>4.895012040993862</v>
      </c>
      <c r="M3" s="17">
        <v>200460294</v>
      </c>
      <c r="N3" s="17">
        <f t="shared" si="2"/>
        <v>363258859</v>
      </c>
      <c r="O3" s="17">
        <f t="shared" si="3"/>
        <v>12382</v>
      </c>
      <c r="P3" s="108">
        <v>2686</v>
      </c>
      <c r="Q3" s="110">
        <f t="shared" si="4"/>
        <v>-0.48360721788516059</v>
      </c>
      <c r="R3" s="17">
        <v>17174218</v>
      </c>
    </row>
    <row r="4" spans="1:18" ht="15" customHeight="1">
      <c r="A4" s="23">
        <v>14</v>
      </c>
      <c r="B4" s="15" t="s">
        <v>74</v>
      </c>
      <c r="C4" s="13">
        <v>36483</v>
      </c>
      <c r="D4" s="72">
        <v>83</v>
      </c>
      <c r="E4" s="14">
        <f>169/169</f>
        <v>1</v>
      </c>
      <c r="F4" s="24">
        <v>86.7</v>
      </c>
      <c r="G4" s="51">
        <v>88</v>
      </c>
      <c r="H4" s="17">
        <v>90000000</v>
      </c>
      <c r="I4" s="17">
        <v>57388839</v>
      </c>
      <c r="J4" s="20">
        <f t="shared" si="0"/>
        <v>0.2334282300585182</v>
      </c>
      <c r="K4" s="17">
        <v>245852179</v>
      </c>
      <c r="L4" s="21">
        <f t="shared" si="1"/>
        <v>4.283971993230252</v>
      </c>
      <c r="M4" s="17">
        <v>251514690</v>
      </c>
      <c r="N4" s="17">
        <f t="shared" si="2"/>
        <v>497366869</v>
      </c>
      <c r="O4" s="17">
        <f t="shared" si="3"/>
        <v>17734.499072929542</v>
      </c>
      <c r="P4" s="108">
        <v>3236</v>
      </c>
      <c r="Q4" s="110">
        <f t="shared" si="4"/>
        <v>-0.51627744203014814</v>
      </c>
      <c r="R4" s="17">
        <v>27760276</v>
      </c>
    </row>
    <row r="5" spans="1:18" ht="15" customHeight="1">
      <c r="A5" s="23">
        <v>9</v>
      </c>
      <c r="B5" s="15" t="s">
        <v>94</v>
      </c>
      <c r="C5" s="13">
        <v>37197</v>
      </c>
      <c r="D5" s="72">
        <v>90</v>
      </c>
      <c r="E5" s="14">
        <f>188/196</f>
        <v>0.95918367346938771</v>
      </c>
      <c r="F5" s="24">
        <v>80.3</v>
      </c>
      <c r="G5" s="51">
        <v>79</v>
      </c>
      <c r="H5" s="17">
        <v>115000000</v>
      </c>
      <c r="I5" s="17">
        <v>62577067</v>
      </c>
      <c r="J5" s="20">
        <f t="shared" si="0"/>
        <v>0.24456275519226806</v>
      </c>
      <c r="K5" s="17">
        <v>255873250</v>
      </c>
      <c r="L5" s="21">
        <f t="shared" si="1"/>
        <v>4.0889300548394187</v>
      </c>
      <c r="M5" s="17">
        <v>272900000</v>
      </c>
      <c r="N5" s="17">
        <f t="shared" si="2"/>
        <v>528773250</v>
      </c>
      <c r="O5" s="17">
        <f t="shared" si="3"/>
        <v>19331.8093914118</v>
      </c>
      <c r="P5" s="108">
        <v>3237</v>
      </c>
      <c r="Q5" s="110">
        <f t="shared" si="4"/>
        <v>-0.27208112837886766</v>
      </c>
      <c r="R5" s="17">
        <v>45551028</v>
      </c>
    </row>
    <row r="6" spans="1:18" ht="15" customHeight="1">
      <c r="A6" s="23">
        <v>12</v>
      </c>
      <c r="B6" s="15" t="s">
        <v>75</v>
      </c>
      <c r="C6" s="13">
        <v>37771</v>
      </c>
      <c r="D6" s="72">
        <v>85</v>
      </c>
      <c r="E6" s="14">
        <f>264/266</f>
        <v>0.99248120300751874</v>
      </c>
      <c r="F6" s="24">
        <v>86.9</v>
      </c>
      <c r="G6" s="51">
        <v>90</v>
      </c>
      <c r="H6" s="17">
        <v>94000000</v>
      </c>
      <c r="I6" s="17">
        <v>70251710</v>
      </c>
      <c r="J6" s="20">
        <f t="shared" si="0"/>
        <v>0.20679603358554299</v>
      </c>
      <c r="K6" s="17">
        <v>339714978</v>
      </c>
      <c r="L6" s="21">
        <f t="shared" si="1"/>
        <v>4.8356826901437699</v>
      </c>
      <c r="M6" s="17">
        <v>531300000</v>
      </c>
      <c r="N6" s="17">
        <f t="shared" si="2"/>
        <v>871014978</v>
      </c>
      <c r="O6" s="17">
        <f t="shared" si="3"/>
        <v>20821.49081209247</v>
      </c>
      <c r="P6" s="108">
        <v>3374</v>
      </c>
      <c r="Q6" s="110">
        <f t="shared" si="4"/>
        <v>-0.33681829239459082</v>
      </c>
      <c r="R6" s="17">
        <v>46589649</v>
      </c>
    </row>
    <row r="7" spans="1:18" ht="15" customHeight="1">
      <c r="A7" s="23">
        <v>7</v>
      </c>
      <c r="B7" s="15" t="s">
        <v>76</v>
      </c>
      <c r="C7" s="13">
        <v>38296</v>
      </c>
      <c r="D7" s="72">
        <v>92</v>
      </c>
      <c r="E7" s="14">
        <f>241/248</f>
        <v>0.97177419354838712</v>
      </c>
      <c r="F7" s="24">
        <v>83.6</v>
      </c>
      <c r="G7" s="51">
        <v>90</v>
      </c>
      <c r="H7" s="17">
        <v>92000000</v>
      </c>
      <c r="I7" s="17">
        <v>70467623</v>
      </c>
      <c r="J7" s="20">
        <f t="shared" si="0"/>
        <v>0.26953537586968157</v>
      </c>
      <c r="K7" s="17">
        <v>261441092</v>
      </c>
      <c r="L7" s="21">
        <f t="shared" si="1"/>
        <v>3.7100881350858108</v>
      </c>
      <c r="M7" s="17">
        <v>371578642</v>
      </c>
      <c r="N7" s="17">
        <f t="shared" si="2"/>
        <v>633019734</v>
      </c>
      <c r="O7" s="17">
        <f t="shared" si="3"/>
        <v>17917.015764047799</v>
      </c>
      <c r="P7" s="108">
        <v>3933</v>
      </c>
      <c r="Q7" s="110">
        <f t="shared" si="4"/>
        <v>-0.28688727020067073</v>
      </c>
      <c r="R7" s="17">
        <v>50251359</v>
      </c>
    </row>
    <row r="8" spans="1:18" ht="15" customHeight="1">
      <c r="A8" s="23">
        <v>16</v>
      </c>
      <c r="B8" s="15" t="s">
        <v>77</v>
      </c>
      <c r="C8" s="13">
        <v>38877</v>
      </c>
      <c r="D8" s="72">
        <v>73</v>
      </c>
      <c r="E8" s="14">
        <f>151/202</f>
        <v>0.74752475247524752</v>
      </c>
      <c r="F8" s="24">
        <v>69.099999999999994</v>
      </c>
      <c r="G8" s="51">
        <v>73</v>
      </c>
      <c r="H8" s="17">
        <v>120000000</v>
      </c>
      <c r="I8" s="17">
        <v>60119509</v>
      </c>
      <c r="J8" s="20">
        <f t="shared" si="0"/>
        <v>0.24630766351420599</v>
      </c>
      <c r="K8" s="17">
        <v>244082982</v>
      </c>
      <c r="L8" s="21">
        <f t="shared" si="1"/>
        <v>4.0599629980344654</v>
      </c>
      <c r="M8" s="17">
        <v>218133298</v>
      </c>
      <c r="N8" s="17">
        <f t="shared" si="2"/>
        <v>462216280</v>
      </c>
      <c r="O8" s="17">
        <f t="shared" si="3"/>
        <v>15086.451442910917</v>
      </c>
      <c r="P8" s="108">
        <v>3985</v>
      </c>
      <c r="Q8" s="110">
        <f t="shared" si="4"/>
        <v>-0.43892366120288839</v>
      </c>
      <c r="R8" s="17">
        <v>33731634</v>
      </c>
    </row>
    <row r="9" spans="1:18" ht="15" customHeight="1">
      <c r="A9" s="23">
        <v>5</v>
      </c>
      <c r="B9" s="15" t="s">
        <v>78</v>
      </c>
      <c r="C9" s="13">
        <v>39262</v>
      </c>
      <c r="D9" s="72">
        <v>95</v>
      </c>
      <c r="E9" s="14">
        <f>239/250</f>
        <v>0.95599999999999996</v>
      </c>
      <c r="F9" s="24">
        <v>84.7</v>
      </c>
      <c r="G9" s="51">
        <v>96</v>
      </c>
      <c r="H9" s="17">
        <v>150000000</v>
      </c>
      <c r="I9" s="17">
        <v>47027395</v>
      </c>
      <c r="J9" s="20">
        <f t="shared" si="0"/>
        <v>0.22779551949298968</v>
      </c>
      <c r="K9" s="17">
        <v>206445654</v>
      </c>
      <c r="L9" s="21">
        <f t="shared" si="1"/>
        <v>4.3899019709681983</v>
      </c>
      <c r="M9" s="17">
        <v>414257297</v>
      </c>
      <c r="N9" s="17">
        <f t="shared" si="2"/>
        <v>620702951</v>
      </c>
      <c r="O9" s="17">
        <f t="shared" si="3"/>
        <v>11935.887055837564</v>
      </c>
      <c r="P9" s="108">
        <v>3940</v>
      </c>
      <c r="Q9" s="110">
        <f t="shared" si="4"/>
        <v>-0.38303422930400466</v>
      </c>
      <c r="R9" s="17">
        <v>29014293</v>
      </c>
    </row>
    <row r="10" spans="1:18" ht="15" customHeight="1">
      <c r="A10" s="23">
        <v>3</v>
      </c>
      <c r="B10" s="15" t="s">
        <v>79</v>
      </c>
      <c r="C10" s="13">
        <v>39626</v>
      </c>
      <c r="D10" s="72">
        <v>96</v>
      </c>
      <c r="E10" s="14">
        <f>247/259</f>
        <v>0.95366795366795365</v>
      </c>
      <c r="F10" s="24">
        <v>85.5</v>
      </c>
      <c r="G10" s="51">
        <v>95</v>
      </c>
      <c r="H10" s="17">
        <v>180000000</v>
      </c>
      <c r="I10" s="17">
        <v>63087526</v>
      </c>
      <c r="J10" s="20">
        <f t="shared" si="0"/>
        <v>0.28188214796311006</v>
      </c>
      <c r="K10" s="17">
        <v>223808164</v>
      </c>
      <c r="L10" s="21">
        <f t="shared" si="1"/>
        <v>3.5475818785475912</v>
      </c>
      <c r="M10" s="17">
        <v>309473269</v>
      </c>
      <c r="N10" s="17">
        <f t="shared" si="2"/>
        <v>533281433</v>
      </c>
      <c r="O10" s="17">
        <f t="shared" si="3"/>
        <v>15803.488476953908</v>
      </c>
      <c r="P10" s="108">
        <v>3992</v>
      </c>
      <c r="Q10" s="110">
        <f t="shared" si="4"/>
        <v>-0.48469676873998835</v>
      </c>
      <c r="R10" s="17">
        <v>32509206</v>
      </c>
    </row>
    <row r="11" spans="1:18" ht="15" customHeight="1">
      <c r="A11" s="23">
        <v>8</v>
      </c>
      <c r="B11" s="15" t="s">
        <v>80</v>
      </c>
      <c r="C11" s="13">
        <v>39962</v>
      </c>
      <c r="D11" s="72">
        <v>90</v>
      </c>
      <c r="E11" s="14">
        <f>289/296</f>
        <v>0.97635135135135132</v>
      </c>
      <c r="F11" s="24">
        <v>87.2</v>
      </c>
      <c r="G11" s="51">
        <v>88</v>
      </c>
      <c r="H11" s="17">
        <v>175000000</v>
      </c>
      <c r="I11" s="17">
        <v>68108790</v>
      </c>
      <c r="J11" s="20">
        <f t="shared" si="0"/>
        <v>0.23244990470510857</v>
      </c>
      <c r="K11" s="17">
        <v>293004164</v>
      </c>
      <c r="L11" s="21">
        <f t="shared" si="1"/>
        <v>4.3020021938431148</v>
      </c>
      <c r="M11" s="17">
        <v>442094918</v>
      </c>
      <c r="N11" s="17">
        <f t="shared" si="2"/>
        <v>735099082</v>
      </c>
      <c r="O11" s="17">
        <f t="shared" si="3"/>
        <v>18085.180562931491</v>
      </c>
      <c r="P11" s="108">
        <v>3766</v>
      </c>
      <c r="Q11" s="110">
        <f t="shared" si="4"/>
        <v>-0.35194464620499055</v>
      </c>
      <c r="R11" s="17">
        <v>44138266</v>
      </c>
    </row>
    <row r="12" spans="1:18" ht="15" customHeight="1">
      <c r="A12" s="23">
        <v>6</v>
      </c>
      <c r="B12" s="15" t="s">
        <v>81</v>
      </c>
      <c r="C12" s="13">
        <v>40347</v>
      </c>
      <c r="D12" s="72">
        <v>93</v>
      </c>
      <c r="E12" s="14">
        <f>302/307</f>
        <v>0.98371335504885993</v>
      </c>
      <c r="F12" s="24">
        <v>88.7</v>
      </c>
      <c r="G12" s="51">
        <v>92</v>
      </c>
      <c r="H12" s="17">
        <v>200000000</v>
      </c>
      <c r="I12" s="17">
        <v>110307189</v>
      </c>
      <c r="J12" s="20">
        <f t="shared" si="0"/>
        <v>0.2657973299012773</v>
      </c>
      <c r="K12" s="17">
        <v>415004880</v>
      </c>
      <c r="L12" s="21">
        <f t="shared" si="1"/>
        <v>3.762265032426853</v>
      </c>
      <c r="M12" s="17">
        <v>651964823</v>
      </c>
      <c r="N12" s="17">
        <f t="shared" si="2"/>
        <v>1066969703</v>
      </c>
      <c r="O12" s="17">
        <f t="shared" si="3"/>
        <v>27385.101539225423</v>
      </c>
      <c r="P12" s="108">
        <v>4028</v>
      </c>
      <c r="Q12" s="110">
        <f t="shared" si="4"/>
        <v>-0.46206888655280665</v>
      </c>
      <c r="R12" s="17">
        <v>59337669</v>
      </c>
    </row>
    <row r="13" spans="1:18" ht="15" customHeight="1">
      <c r="A13" s="23">
        <v>23</v>
      </c>
      <c r="B13" s="15" t="s">
        <v>82</v>
      </c>
      <c r="C13" s="13">
        <v>40718</v>
      </c>
      <c r="D13" s="72">
        <v>24</v>
      </c>
      <c r="E13" s="14">
        <f>85/217</f>
        <v>0.39170506912442399</v>
      </c>
      <c r="F13" s="24">
        <v>54.8</v>
      </c>
      <c r="G13" s="51">
        <v>57</v>
      </c>
      <c r="H13" s="17">
        <v>200000000</v>
      </c>
      <c r="I13" s="17">
        <v>66135507</v>
      </c>
      <c r="J13" s="20">
        <f t="shared" si="0"/>
        <v>0.34544099933855099</v>
      </c>
      <c r="K13" s="17">
        <v>191452396</v>
      </c>
      <c r="L13" s="21">
        <f t="shared" si="1"/>
        <v>2.8948503562541679</v>
      </c>
      <c r="M13" s="17">
        <v>370658161</v>
      </c>
      <c r="N13" s="17">
        <f t="shared" si="2"/>
        <v>562110557</v>
      </c>
      <c r="O13" s="17">
        <f t="shared" si="3"/>
        <v>16071.812150668287</v>
      </c>
      <c r="P13" s="108">
        <v>4115</v>
      </c>
      <c r="Q13" s="110">
        <f t="shared" si="4"/>
        <v>-0.60273402001741672</v>
      </c>
      <c r="R13" s="17">
        <v>26273387</v>
      </c>
    </row>
    <row r="14" spans="1:18" ht="15" customHeight="1">
      <c r="A14" s="23">
        <v>19</v>
      </c>
      <c r="B14" s="15" t="s">
        <v>83</v>
      </c>
      <c r="C14" s="13">
        <v>41082</v>
      </c>
      <c r="D14" s="72">
        <v>60</v>
      </c>
      <c r="E14" s="14">
        <f>194/248</f>
        <v>0.782258064516129</v>
      </c>
      <c r="F14" s="24">
        <v>69.5</v>
      </c>
      <c r="G14" s="51">
        <v>69</v>
      </c>
      <c r="H14" s="17">
        <v>185000000</v>
      </c>
      <c r="I14" s="17">
        <v>66323594</v>
      </c>
      <c r="J14" s="20">
        <f t="shared" si="0"/>
        <v>0.27951238032618125</v>
      </c>
      <c r="K14" s="17">
        <v>237283207</v>
      </c>
      <c r="L14" s="21">
        <f t="shared" si="1"/>
        <v>3.577659060514724</v>
      </c>
      <c r="M14" s="17">
        <v>303153856</v>
      </c>
      <c r="N14" s="17">
        <f t="shared" si="2"/>
        <v>540437063</v>
      </c>
      <c r="O14" s="17">
        <f t="shared" si="3"/>
        <v>15927.856388088376</v>
      </c>
      <c r="P14" s="108">
        <v>4164</v>
      </c>
      <c r="Q14" s="110">
        <f t="shared" si="4"/>
        <v>-0.48593492988332332</v>
      </c>
      <c r="R14" s="17">
        <v>34094643</v>
      </c>
    </row>
    <row r="15" spans="1:18" ht="15" customHeight="1">
      <c r="A15" s="23">
        <v>21</v>
      </c>
      <c r="B15" s="15" t="s">
        <v>128</v>
      </c>
      <c r="C15" s="13">
        <v>41446</v>
      </c>
      <c r="D15" s="72">
        <v>60</v>
      </c>
      <c r="E15" s="14">
        <f>161/202</f>
        <v>0.79702970297029707</v>
      </c>
      <c r="F15" s="24">
        <v>68.099999999999994</v>
      </c>
      <c r="G15" s="51">
        <v>65</v>
      </c>
      <c r="H15" s="17">
        <v>200000000</v>
      </c>
      <c r="I15" s="17">
        <v>82429469</v>
      </c>
      <c r="J15" s="20">
        <f t="shared" si="0"/>
        <v>0.30700815832787209</v>
      </c>
      <c r="K15" s="17">
        <v>268492764</v>
      </c>
      <c r="L15" s="21">
        <f t="shared" si="1"/>
        <v>3.2572424311019157</v>
      </c>
      <c r="M15" s="17">
        <v>475736673</v>
      </c>
      <c r="N15" s="17">
        <f t="shared" si="2"/>
        <v>744229437</v>
      </c>
      <c r="O15" s="17">
        <f t="shared" si="3"/>
        <v>20586.780469530469</v>
      </c>
      <c r="P15" s="108">
        <v>4004</v>
      </c>
      <c r="Q15" s="110">
        <f t="shared" si="4"/>
        <v>-0.44670582555857541</v>
      </c>
      <c r="R15" s="17">
        <v>45607745</v>
      </c>
    </row>
    <row r="16" spans="1:18" ht="15" customHeight="1">
      <c r="A16" s="23">
        <v>1</v>
      </c>
      <c r="B16" s="15" t="s">
        <v>5</v>
      </c>
      <c r="C16" s="13">
        <v>42174</v>
      </c>
      <c r="D16" s="72">
        <v>98</v>
      </c>
      <c r="E16" s="14">
        <f>363/370</f>
        <v>0.98108108108108105</v>
      </c>
      <c r="F16" s="24">
        <v>89.3</v>
      </c>
      <c r="G16" s="51">
        <v>94</v>
      </c>
      <c r="H16" s="17">
        <v>175000000</v>
      </c>
      <c r="I16" s="18">
        <v>90440272</v>
      </c>
      <c r="J16" s="20">
        <f t="shared" si="0"/>
        <v>0.2537166523335237</v>
      </c>
      <c r="K16" s="17">
        <v>356461711</v>
      </c>
      <c r="L16" s="21">
        <f t="shared" si="1"/>
        <v>3.9414046764476782</v>
      </c>
      <c r="M16" s="17">
        <v>501149463</v>
      </c>
      <c r="N16" s="17">
        <f t="shared" si="2"/>
        <v>857611174</v>
      </c>
      <c r="O16" s="17">
        <f t="shared" si="3"/>
        <v>22919.480993411049</v>
      </c>
      <c r="P16" s="108">
        <v>3946</v>
      </c>
      <c r="Q16" s="110">
        <f t="shared" si="4"/>
        <v>-0.42145956836573861</v>
      </c>
      <c r="R16" s="18">
        <v>52323354</v>
      </c>
    </row>
    <row r="17" spans="1:18" ht="15" customHeight="1">
      <c r="A17" s="23">
        <v>22</v>
      </c>
      <c r="B17" s="15" t="s">
        <v>6</v>
      </c>
      <c r="C17" s="13">
        <v>42333</v>
      </c>
      <c r="D17" s="72">
        <v>52</v>
      </c>
      <c r="E17" s="14">
        <f>163/215</f>
        <v>0.75813953488372088</v>
      </c>
      <c r="F17" s="24">
        <v>65.900000000000006</v>
      </c>
      <c r="G17" s="51">
        <v>66</v>
      </c>
      <c r="H17" s="17">
        <v>187500000</v>
      </c>
      <c r="I17" s="17">
        <v>39155217</v>
      </c>
      <c r="J17" s="20">
        <f t="shared" si="0"/>
        <v>0.31810978272950086</v>
      </c>
      <c r="K17" s="17">
        <v>123087120</v>
      </c>
      <c r="L17" s="21">
        <f t="shared" si="1"/>
        <v>3.1435688378383908</v>
      </c>
      <c r="M17" s="17">
        <v>209120551</v>
      </c>
      <c r="N17" s="17">
        <f t="shared" si="2"/>
        <v>332207671</v>
      </c>
      <c r="O17" s="17">
        <f t="shared" si="3"/>
        <v>10444.176313683649</v>
      </c>
      <c r="P17" s="108">
        <v>3749</v>
      </c>
      <c r="Q17" s="110">
        <f t="shared" si="4"/>
        <v>-0.60863560020622542</v>
      </c>
      <c r="R17" s="17">
        <v>15323958</v>
      </c>
    </row>
    <row r="18" spans="1:18" ht="15" customHeight="1">
      <c r="A18" s="23">
        <v>18</v>
      </c>
      <c r="B18" s="15" t="s">
        <v>7</v>
      </c>
      <c r="C18" s="13">
        <v>42538</v>
      </c>
      <c r="D18" s="72">
        <v>71</v>
      </c>
      <c r="E18" s="14">
        <f>309/329</f>
        <v>0.93920972644376899</v>
      </c>
      <c r="F18" s="24">
        <v>76.5</v>
      </c>
      <c r="G18" s="51">
        <v>77</v>
      </c>
      <c r="H18" s="17">
        <v>200000000</v>
      </c>
      <c r="I18" s="17">
        <v>135060273</v>
      </c>
      <c r="J18" s="20">
        <f t="shared" si="0"/>
        <v>0.27773289298028364</v>
      </c>
      <c r="K18" s="17">
        <v>486295561</v>
      </c>
      <c r="L18" s="21">
        <f t="shared" si="1"/>
        <v>3.600581800985994</v>
      </c>
      <c r="M18" s="17">
        <v>542275328</v>
      </c>
      <c r="N18" s="17">
        <f t="shared" si="2"/>
        <v>1028570889</v>
      </c>
      <c r="O18" s="17">
        <f t="shared" si="3"/>
        <v>31372.885714285716</v>
      </c>
      <c r="P18" s="108">
        <v>4305</v>
      </c>
      <c r="Q18" s="110">
        <f t="shared" si="4"/>
        <v>-0.45979707889380617</v>
      </c>
      <c r="R18" s="17">
        <v>72959954</v>
      </c>
    </row>
    <row r="19" spans="1:18" ht="15" customHeight="1">
      <c r="A19" s="23">
        <v>20</v>
      </c>
      <c r="B19" s="15" t="s">
        <v>25</v>
      </c>
      <c r="C19" s="13">
        <v>42902</v>
      </c>
      <c r="D19" s="72">
        <v>60</v>
      </c>
      <c r="E19" s="14">
        <f>158/228</f>
        <v>0.69298245614035092</v>
      </c>
      <c r="F19" s="24">
        <v>61.2</v>
      </c>
      <c r="G19" s="51">
        <v>59</v>
      </c>
      <c r="H19" s="17">
        <v>175000000</v>
      </c>
      <c r="I19" s="17">
        <v>53688680</v>
      </c>
      <c r="J19" s="20">
        <f t="shared" si="0"/>
        <v>0.3511333452342712</v>
      </c>
      <c r="K19" s="17">
        <v>152901115</v>
      </c>
      <c r="L19" s="21">
        <f t="shared" si="1"/>
        <v>2.8479209211327228</v>
      </c>
      <c r="M19" s="17">
        <v>231029541</v>
      </c>
      <c r="N19" s="17">
        <f t="shared" si="2"/>
        <v>383930656</v>
      </c>
      <c r="O19" s="17">
        <f t="shared" si="3"/>
        <v>12614.821428571429</v>
      </c>
      <c r="P19" s="108">
        <v>4256</v>
      </c>
      <c r="Q19" s="110">
        <f t="shared" si="4"/>
        <v>-0.55159081951726141</v>
      </c>
      <c r="R19" s="17">
        <v>24074497</v>
      </c>
    </row>
    <row r="20" spans="1:18" ht="15" customHeight="1">
      <c r="A20" s="23">
        <v>4</v>
      </c>
      <c r="B20" s="15" t="s">
        <v>27</v>
      </c>
      <c r="C20" s="13">
        <v>43061</v>
      </c>
      <c r="D20" s="72">
        <v>95</v>
      </c>
      <c r="E20" s="14">
        <f>334/344</f>
        <v>0.97093023255813948</v>
      </c>
      <c r="F20" s="24">
        <v>83</v>
      </c>
      <c r="G20" s="51">
        <v>81</v>
      </c>
      <c r="H20" s="17">
        <v>175000000</v>
      </c>
      <c r="I20" s="17">
        <v>50802605</v>
      </c>
      <c r="J20" s="20">
        <f t="shared" si="0"/>
        <v>0.24223320602358273</v>
      </c>
      <c r="K20" s="17">
        <v>209726015</v>
      </c>
      <c r="L20" s="21">
        <f t="shared" si="1"/>
        <v>4.1282531673326597</v>
      </c>
      <c r="M20" s="17">
        <v>597356181</v>
      </c>
      <c r="N20" s="17">
        <f t="shared" si="2"/>
        <v>807082196</v>
      </c>
      <c r="O20" s="17">
        <f t="shared" si="3"/>
        <v>12742.062954602457</v>
      </c>
      <c r="P20" s="108">
        <v>3987</v>
      </c>
      <c r="Q20" s="110">
        <f t="shared" si="4"/>
        <v>-0.45803361855164715</v>
      </c>
      <c r="R20" s="17">
        <v>27533304</v>
      </c>
    </row>
    <row r="21" spans="1:18" ht="15" customHeight="1">
      <c r="A21" s="23">
        <v>17</v>
      </c>
      <c r="B21" s="15" t="s">
        <v>90</v>
      </c>
      <c r="C21" s="13">
        <v>43266</v>
      </c>
      <c r="D21" s="72">
        <v>71</v>
      </c>
      <c r="E21" s="14">
        <f>353/379</f>
        <v>0.93139841688654357</v>
      </c>
      <c r="F21" s="24">
        <v>78.400000000000006</v>
      </c>
      <c r="G21" s="51">
        <v>80</v>
      </c>
      <c r="H21" s="17">
        <v>200000000</v>
      </c>
      <c r="I21" s="17">
        <v>182687905</v>
      </c>
      <c r="J21" s="20">
        <f t="shared" si="0"/>
        <v>0.30018630496415283</v>
      </c>
      <c r="K21" s="17">
        <v>608581744</v>
      </c>
      <c r="L21" s="21">
        <f t="shared" si="1"/>
        <v>3.3312645629167403</v>
      </c>
      <c r="M21" s="17">
        <v>634223615</v>
      </c>
      <c r="N21" s="17">
        <f t="shared" si="2"/>
        <v>1242805359</v>
      </c>
      <c r="O21" s="17">
        <f t="shared" si="3"/>
        <v>41425.828798185939</v>
      </c>
      <c r="P21" s="108">
        <v>4410</v>
      </c>
      <c r="Q21" s="110">
        <f t="shared" si="4"/>
        <v>-0.56019173245212928</v>
      </c>
      <c r="R21" s="17">
        <v>80347651</v>
      </c>
    </row>
    <row r="22" spans="1:18" ht="15" customHeight="1">
      <c r="A22" s="23">
        <v>11</v>
      </c>
      <c r="B22" s="15" t="s">
        <v>33</v>
      </c>
      <c r="C22" s="13">
        <v>43637</v>
      </c>
      <c r="D22" s="72">
        <v>90</v>
      </c>
      <c r="E22" s="14">
        <f>428/442</f>
        <v>0.96832579185520362</v>
      </c>
      <c r="F22" s="24">
        <v>83.4</v>
      </c>
      <c r="G22" s="51">
        <v>84</v>
      </c>
      <c r="H22" s="17">
        <v>200000000</v>
      </c>
      <c r="I22" s="17">
        <v>120908065</v>
      </c>
      <c r="J22" s="20">
        <f t="shared" si="0"/>
        <v>0.27856561584809414</v>
      </c>
      <c r="K22" s="17">
        <v>434038008</v>
      </c>
      <c r="L22" s="21">
        <f t="shared" si="1"/>
        <v>3.589818495565205</v>
      </c>
      <c r="M22" s="17">
        <v>639356585</v>
      </c>
      <c r="N22" s="17">
        <f t="shared" si="2"/>
        <v>1073394593</v>
      </c>
      <c r="O22" s="17">
        <f t="shared" si="3"/>
        <v>26427.992349726777</v>
      </c>
      <c r="P22" s="108">
        <v>4575</v>
      </c>
      <c r="Q22" s="110">
        <f t="shared" si="4"/>
        <v>-0.5062336743210637</v>
      </c>
      <c r="R22" s="17">
        <v>59700331</v>
      </c>
    </row>
    <row r="23" spans="1:18" ht="15" customHeight="1">
      <c r="A23" s="23">
        <v>13</v>
      </c>
      <c r="B23" s="15" t="s">
        <v>204</v>
      </c>
      <c r="C23" s="13">
        <v>43896</v>
      </c>
      <c r="D23" s="72">
        <v>85</v>
      </c>
      <c r="E23" s="14">
        <f>284/323</f>
        <v>0.87925696594427249</v>
      </c>
      <c r="F23" s="24">
        <v>71.7</v>
      </c>
      <c r="G23" s="51">
        <v>61</v>
      </c>
      <c r="H23" s="17">
        <v>187500000</v>
      </c>
      <c r="I23" s="17">
        <v>39119861</v>
      </c>
      <c r="J23" s="20">
        <f t="shared" si="0"/>
        <v>0.63552544632946606</v>
      </c>
      <c r="K23" s="17">
        <v>61555145</v>
      </c>
      <c r="L23" s="21">
        <f t="shared" si="1"/>
        <v>1.5735011175014144</v>
      </c>
      <c r="M23" s="17">
        <v>79922225</v>
      </c>
      <c r="N23" s="17">
        <f t="shared" si="2"/>
        <v>141477370</v>
      </c>
      <c r="O23" s="17">
        <f t="shared" si="3"/>
        <v>9076.5338747099777</v>
      </c>
      <c r="P23" s="108">
        <v>4310</v>
      </c>
      <c r="Q23" s="110">
        <f t="shared" si="4"/>
        <v>-0.72898799410355775</v>
      </c>
      <c r="R23" s="17">
        <v>10601952</v>
      </c>
    </row>
    <row r="24" spans="1:18" ht="15" customHeight="1">
      <c r="A24" s="23">
        <v>2</v>
      </c>
      <c r="B24" s="15" t="s">
        <v>304</v>
      </c>
      <c r="C24" s="13">
        <v>44190</v>
      </c>
      <c r="D24" s="72">
        <v>96</v>
      </c>
      <c r="E24" s="14">
        <f>254/266</f>
        <v>0.95488721804511278</v>
      </c>
      <c r="F24" s="24">
        <v>83</v>
      </c>
      <c r="G24" s="51">
        <v>83</v>
      </c>
      <c r="H24" s="17">
        <v>150000000</v>
      </c>
      <c r="I24" s="17">
        <v>0</v>
      </c>
      <c r="J24" s="20">
        <v>0</v>
      </c>
      <c r="K24" s="17">
        <v>0</v>
      </c>
      <c r="L24" s="21">
        <v>0</v>
      </c>
      <c r="M24" s="17">
        <v>121751051</v>
      </c>
      <c r="N24" s="17">
        <f t="shared" si="2"/>
        <v>121751051</v>
      </c>
      <c r="O24" s="17">
        <v>0</v>
      </c>
      <c r="P24" s="108">
        <v>0</v>
      </c>
      <c r="Q24" s="110">
        <v>0</v>
      </c>
      <c r="R24" s="17">
        <v>0</v>
      </c>
    </row>
    <row r="25" spans="1:18" ht="15" customHeight="1">
      <c r="A25" s="62"/>
      <c r="D25" s="62"/>
      <c r="E25" s="106"/>
      <c r="F25" s="62"/>
      <c r="I25" s="62"/>
      <c r="M25" s="62"/>
    </row>
    <row r="26" spans="1:18" ht="15" customHeight="1">
      <c r="A26" s="62"/>
      <c r="D26" s="62"/>
      <c r="E26" s="106"/>
      <c r="F26" s="62"/>
      <c r="I26" s="62"/>
      <c r="M26" s="62"/>
    </row>
    <row r="27" spans="1:18" ht="15" customHeight="1">
      <c r="A27" s="62"/>
      <c r="D27" s="62"/>
      <c r="E27" s="106"/>
      <c r="F27" s="62"/>
      <c r="I27" s="62"/>
      <c r="M27" s="62"/>
    </row>
    <row r="28" spans="1:18" ht="15" customHeight="1">
      <c r="A28" s="62"/>
      <c r="B28" s="62"/>
      <c r="D28" s="62"/>
      <c r="E28" s="106"/>
      <c r="F28" s="62"/>
      <c r="I28" s="62"/>
      <c r="M28" s="62"/>
    </row>
    <row r="29" spans="1:18" ht="15" customHeight="1">
      <c r="A29" s="62"/>
      <c r="B29" s="62"/>
      <c r="D29" s="62"/>
      <c r="E29" s="106"/>
      <c r="F29" s="62"/>
      <c r="I29" s="62"/>
      <c r="M29" s="62"/>
    </row>
    <row r="30" spans="1:18" ht="15" customHeight="1">
      <c r="A30" s="62"/>
      <c r="B30" s="62"/>
      <c r="D30" s="62"/>
      <c r="E30" s="106"/>
      <c r="F30" s="62"/>
      <c r="I30" s="62"/>
      <c r="M30" s="62"/>
    </row>
    <row r="31" spans="1:18" ht="15" customHeight="1">
      <c r="A31" s="62"/>
      <c r="B31" s="62"/>
      <c r="D31" s="62"/>
      <c r="E31" s="106"/>
      <c r="F31" s="62"/>
      <c r="I31" s="62"/>
      <c r="M31" s="62"/>
    </row>
    <row r="32" spans="1:18" ht="15" customHeight="1">
      <c r="A32" s="62"/>
      <c r="B32" s="62"/>
      <c r="D32" s="62"/>
      <c r="E32" s="106"/>
      <c r="F32" s="62"/>
      <c r="I32" s="62"/>
      <c r="M32" s="62"/>
    </row>
    <row r="33" spans="1:13" ht="15" customHeight="1">
      <c r="A33" s="62"/>
      <c r="B33" s="62"/>
      <c r="D33" s="62"/>
      <c r="E33" s="106"/>
      <c r="F33" s="62"/>
      <c r="I33" s="62"/>
      <c r="M33" s="62"/>
    </row>
    <row r="34" spans="1:13" ht="15" customHeight="1">
      <c r="A34" s="62"/>
      <c r="B34" s="62"/>
      <c r="D34" s="62"/>
      <c r="E34" s="106"/>
      <c r="F34" s="62"/>
      <c r="I34" s="62"/>
      <c r="M34" s="62"/>
    </row>
    <row r="35" spans="1:13" ht="15" customHeight="1">
      <c r="A35" s="62"/>
      <c r="B35" s="62"/>
      <c r="D35" s="62"/>
      <c r="E35" s="106"/>
      <c r="F35" s="62"/>
      <c r="I35" s="62"/>
      <c r="M35" s="62"/>
    </row>
    <row r="36" spans="1:13" ht="15" customHeight="1">
      <c r="A36" s="62"/>
      <c r="B36" s="62"/>
      <c r="D36" s="62"/>
      <c r="E36" s="106"/>
      <c r="F36" s="62"/>
      <c r="I36" s="62"/>
      <c r="M36" s="62"/>
    </row>
    <row r="37" spans="1:13" ht="15" customHeight="1">
      <c r="A37" s="62"/>
      <c r="B37" s="62"/>
      <c r="D37" s="62"/>
      <c r="E37" s="106"/>
      <c r="F37" s="62"/>
      <c r="I37" s="62"/>
      <c r="M37" s="62"/>
    </row>
    <row r="38" spans="1:13" ht="15" customHeight="1">
      <c r="A38" s="62"/>
      <c r="B38" s="62"/>
      <c r="D38" s="62"/>
      <c r="E38" s="106"/>
      <c r="F38" s="62"/>
      <c r="I38" s="62"/>
      <c r="M38" s="62"/>
    </row>
    <row r="39" spans="1:13" ht="15" customHeight="1">
      <c r="A39" s="62"/>
      <c r="B39" s="15" t="s">
        <v>83</v>
      </c>
      <c r="D39" s="62"/>
      <c r="E39" s="106"/>
      <c r="F39" s="62"/>
      <c r="I39" s="62"/>
      <c r="M39" s="62"/>
    </row>
    <row r="40" spans="1:13" ht="15" customHeight="1">
      <c r="A40" s="62"/>
      <c r="B40" s="6" t="s">
        <v>443</v>
      </c>
      <c r="D40" s="62"/>
      <c r="E40" s="106"/>
      <c r="F40" s="62"/>
      <c r="I40" s="62"/>
      <c r="M40" s="62"/>
    </row>
    <row r="41" spans="1:13" ht="15" customHeight="1">
      <c r="A41" s="62"/>
      <c r="B41" s="90">
        <f>INDEX(A1:N23,MATCH(B39,B1:B23,0),MATCH(B40,A1:N1,0))</f>
        <v>237283207</v>
      </c>
      <c r="D41" s="62"/>
      <c r="E41" s="106"/>
      <c r="F41" s="62"/>
      <c r="I41" s="62"/>
      <c r="M41" s="62"/>
    </row>
    <row r="42" spans="1:13" ht="15" customHeight="1">
      <c r="A42" s="62"/>
      <c r="B42" s="62"/>
      <c r="D42" s="62"/>
      <c r="E42" s="106"/>
      <c r="F42" s="62"/>
      <c r="I42" s="62"/>
      <c r="M42" s="62"/>
    </row>
    <row r="43" spans="1:13" ht="15" customHeight="1">
      <c r="A43" s="62"/>
      <c r="B43" s="62"/>
      <c r="D43" s="62"/>
      <c r="E43" s="106"/>
      <c r="F43" s="62"/>
      <c r="I43" s="62"/>
      <c r="M43" s="62"/>
    </row>
    <row r="44" spans="1:13" ht="15" customHeight="1">
      <c r="A44" s="62"/>
      <c r="B44" s="62"/>
      <c r="D44" s="62"/>
      <c r="E44" s="106"/>
      <c r="F44" s="62"/>
      <c r="I44" s="62"/>
      <c r="M44" s="62"/>
    </row>
    <row r="45" spans="1:13" ht="15" customHeight="1">
      <c r="A45" s="62"/>
      <c r="B45" s="62"/>
      <c r="D45" s="62"/>
      <c r="E45" s="106"/>
      <c r="F45" s="62"/>
      <c r="I45" s="62"/>
      <c r="M45" s="62"/>
    </row>
  </sheetData>
  <autoFilter ref="A1:R23" xr:uid="{932747B1-EF4F-4D48-A6C5-251A84C013F5}">
    <sortState xmlns:xlrd2="http://schemas.microsoft.com/office/spreadsheetml/2017/richdata2" ref="A2:R24">
      <sortCondition ref="C1:C23"/>
    </sortState>
  </autoFilter>
  <sortState xmlns:xlrd2="http://schemas.microsoft.com/office/spreadsheetml/2017/richdata2" ref="A2:R23">
    <sortCondition ref="C2"/>
  </sortState>
  <phoneticPr fontId="16" type="noConversion"/>
  <conditionalFormatting sqref="F46:F1048576">
    <cfRule type="cellIs" dxfId="151" priority="89" operator="between">
      <formula>0.4</formula>
      <formula>0.59</formula>
    </cfRule>
    <cfRule type="cellIs" dxfId="150" priority="90" operator="between">
      <formula>0.01</formula>
      <formula>0.39</formula>
    </cfRule>
    <cfRule type="cellIs" dxfId="149" priority="91" operator="between">
      <formula>0.6</formula>
      <formula>0.79</formula>
    </cfRule>
    <cfRule type="cellIs" dxfId="148" priority="93" operator="between">
      <formula>0.8</formula>
      <formula>1</formula>
    </cfRule>
  </conditionalFormatting>
  <conditionalFormatting sqref="G2:G22 D2:D22">
    <cfRule type="cellIs" dxfId="147" priority="88" operator="between">
      <formula>0.005</formula>
      <formula>0.394999999999999</formula>
    </cfRule>
  </conditionalFormatting>
  <conditionalFormatting sqref="G2:G22 D2:D22">
    <cfRule type="cellIs" dxfId="146" priority="85" operator="between">
      <formula>0.745</formula>
      <formula>1</formula>
    </cfRule>
  </conditionalFormatting>
  <conditionalFormatting sqref="G2:G22 D2:D22">
    <cfRule type="cellIs" dxfId="145" priority="86" operator="between">
      <formula>0.595</formula>
      <formula>0.744999999999999</formula>
    </cfRule>
  </conditionalFormatting>
  <conditionalFormatting sqref="G2:G22 D2:D22">
    <cfRule type="cellIs" dxfId="144" priority="87" operator="between">
      <formula>0.395</formula>
      <formula>0.594999999999999</formula>
    </cfRule>
  </conditionalFormatting>
  <conditionalFormatting sqref="F1">
    <cfRule type="cellIs" dxfId="143" priority="77" operator="between">
      <formula>39.5</formula>
      <formula>59.4999999</formula>
    </cfRule>
    <cfRule type="cellIs" dxfId="142" priority="78" operator="between">
      <formula>1</formula>
      <formula>39.499999</formula>
    </cfRule>
    <cfRule type="cellIs" dxfId="141" priority="79" operator="between">
      <formula>59.5</formula>
      <formula>70.4999</formula>
    </cfRule>
    <cfRule type="cellIs" dxfId="140" priority="80" operator="between">
      <formula>70.499</formula>
      <formula>100</formula>
    </cfRule>
  </conditionalFormatting>
  <conditionalFormatting sqref="F2:F22">
    <cfRule type="cellIs" dxfId="139" priority="76" operator="between">
      <formula>0.005</formula>
      <formula>0.394999999999999</formula>
    </cfRule>
  </conditionalFormatting>
  <conditionalFormatting sqref="F2:F22">
    <cfRule type="cellIs" dxfId="138" priority="73" operator="between">
      <formula>0.745</formula>
      <formula>1</formula>
    </cfRule>
  </conditionalFormatting>
  <conditionalFormatting sqref="F2:F22">
    <cfRule type="cellIs" dxfId="137" priority="74" operator="between">
      <formula>0.595</formula>
      <formula>0.744999999999999</formula>
    </cfRule>
  </conditionalFormatting>
  <conditionalFormatting sqref="F2:F22">
    <cfRule type="cellIs" dxfId="136" priority="75" operator="between">
      <formula>0.395</formula>
      <formula>0.594999999999999</formula>
    </cfRule>
  </conditionalFormatting>
  <conditionalFormatting sqref="F2:F22">
    <cfRule type="cellIs" dxfId="135" priority="69" operator="between">
      <formula>39.5</formula>
      <formula>59.499999999</formula>
    </cfRule>
    <cfRule type="cellIs" dxfId="134" priority="70" operator="between">
      <formula>1</formula>
      <formula>39.49999999</formula>
    </cfRule>
    <cfRule type="cellIs" dxfId="133" priority="71" operator="between">
      <formula>59.5</formula>
      <formula>74.4999999</formula>
    </cfRule>
    <cfRule type="cellIs" dxfId="132" priority="72" operator="between">
      <formula>74.5</formula>
      <formula>100</formula>
    </cfRule>
  </conditionalFormatting>
  <conditionalFormatting sqref="E2:E22">
    <cfRule type="cellIs" dxfId="131" priority="68" operator="between">
      <formula>0.005</formula>
      <formula>0.394999999999999</formula>
    </cfRule>
  </conditionalFormatting>
  <conditionalFormatting sqref="E2:E22">
    <cfRule type="cellIs" dxfId="130" priority="65" operator="between">
      <formula>0.745</formula>
      <formula>1</formula>
    </cfRule>
  </conditionalFormatting>
  <conditionalFormatting sqref="E2:E22">
    <cfRule type="cellIs" dxfId="129" priority="66" operator="between">
      <formula>0.595</formula>
      <formula>0.744999999999999</formula>
    </cfRule>
  </conditionalFormatting>
  <conditionalFormatting sqref="E2:E22">
    <cfRule type="cellIs" dxfId="128" priority="67" operator="between">
      <formula>0.395</formula>
      <formula>0.594999999999999</formula>
    </cfRule>
  </conditionalFormatting>
  <conditionalFormatting sqref="G23:G24 D23:D24">
    <cfRule type="cellIs" dxfId="127" priority="16" operator="between">
      <formula>0.005</formula>
      <formula>0.394999999999999</formula>
    </cfRule>
  </conditionalFormatting>
  <conditionalFormatting sqref="G23:G24 D23:D24">
    <cfRule type="cellIs" dxfId="126" priority="13" operator="between">
      <formula>0.745</formula>
      <formula>1</formula>
    </cfRule>
  </conditionalFormatting>
  <conditionalFormatting sqref="G23:G24 D23:D24">
    <cfRule type="cellIs" dxfId="125" priority="14" operator="between">
      <formula>0.595</formula>
      <formula>0.744999999999999</formula>
    </cfRule>
  </conditionalFormatting>
  <conditionalFormatting sqref="G23:G24 D23:D24">
    <cfRule type="cellIs" dxfId="124" priority="15" operator="between">
      <formula>0.395</formula>
      <formula>0.594999999999999</formula>
    </cfRule>
  </conditionalFormatting>
  <conditionalFormatting sqref="F23:F24">
    <cfRule type="cellIs" dxfId="123" priority="12" operator="between">
      <formula>0.005</formula>
      <formula>0.394999999999999</formula>
    </cfRule>
  </conditionalFormatting>
  <conditionalFormatting sqref="F23:F24">
    <cfRule type="cellIs" dxfId="122" priority="9" operator="between">
      <formula>0.745</formula>
      <formula>1</formula>
    </cfRule>
  </conditionalFormatting>
  <conditionalFormatting sqref="F23:F24">
    <cfRule type="cellIs" dxfId="121" priority="10" operator="between">
      <formula>0.595</formula>
      <formula>0.744999999999999</formula>
    </cfRule>
  </conditionalFormatting>
  <conditionalFormatting sqref="F23:F24">
    <cfRule type="cellIs" dxfId="120" priority="11" operator="between">
      <formula>0.395</formula>
      <formula>0.594999999999999</formula>
    </cfRule>
  </conditionalFormatting>
  <conditionalFormatting sqref="F23:F24">
    <cfRule type="cellIs" dxfId="119" priority="5" operator="between">
      <formula>39.5</formula>
      <formula>59.499999999</formula>
    </cfRule>
    <cfRule type="cellIs" dxfId="118" priority="6" operator="between">
      <formula>1</formula>
      <formula>39.49999999</formula>
    </cfRule>
    <cfRule type="cellIs" dxfId="117" priority="7" operator="between">
      <formula>59.5</formula>
      <formula>74.4999999</formula>
    </cfRule>
    <cfRule type="cellIs" dxfId="116" priority="8" operator="between">
      <formula>74.5</formula>
      <formula>100</formula>
    </cfRule>
  </conditionalFormatting>
  <conditionalFormatting sqref="E23:E24">
    <cfRule type="cellIs" dxfId="115" priority="4" operator="between">
      <formula>0.005</formula>
      <formula>0.394999999999999</formula>
    </cfRule>
  </conditionalFormatting>
  <conditionalFormatting sqref="E23:E24">
    <cfRule type="cellIs" dxfId="114" priority="1" operator="between">
      <formula>0.745</formula>
      <formula>1</formula>
    </cfRule>
  </conditionalFormatting>
  <conditionalFormatting sqref="E23:E24">
    <cfRule type="cellIs" dxfId="113" priority="2" operator="between">
      <formula>0.595</formula>
      <formula>0.744999999999999</formula>
    </cfRule>
  </conditionalFormatting>
  <conditionalFormatting sqref="E23:E24">
    <cfRule type="cellIs" dxfId="112" priority="3" operator="between">
      <formula>0.395</formula>
      <formula>0.594999999999999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76363-D544-40AD-9A43-41B3A13C0475}">
  <sheetPr codeName="Sheet15"/>
  <dimension ref="A1:R45"/>
  <sheetViews>
    <sheetView zoomScale="87" zoomScaleNormal="89" workbookViewId="0">
      <selection activeCell="D17" sqref="D17"/>
    </sheetView>
  </sheetViews>
  <sheetFormatPr defaultColWidth="9.140625" defaultRowHeight="15" customHeight="1"/>
  <cols>
    <col min="1" max="1" width="5.7109375" style="99" bestFit="1" customWidth="1"/>
    <col min="2" max="2" width="19.5703125" style="100" bestFit="1" customWidth="1"/>
    <col min="3" max="3" width="19.7109375" style="62" bestFit="1" customWidth="1"/>
    <col min="4" max="4" width="8.7109375" style="74" bestFit="1" customWidth="1"/>
    <col min="5" max="5" width="9" style="98" customWidth="1"/>
    <col min="6" max="6" width="8.7109375" style="61" bestFit="1" customWidth="1"/>
    <col min="7" max="7" width="9.7109375" style="62" customWidth="1"/>
    <col min="8" max="8" width="15.140625" style="62" bestFit="1" customWidth="1"/>
    <col min="9" max="9" width="14.42578125" style="96" bestFit="1" customWidth="1"/>
    <col min="10" max="10" width="16.28515625" style="62" bestFit="1" customWidth="1"/>
    <col min="11" max="11" width="15" style="62" bestFit="1" customWidth="1"/>
    <col min="12" max="12" width="11.28515625" style="62" bestFit="1" customWidth="1"/>
    <col min="13" max="13" width="15" style="91" bestFit="1" customWidth="1"/>
    <col min="14" max="14" width="16.28515625" style="62" bestFit="1" customWidth="1"/>
    <col min="15" max="15" width="14.42578125" style="62" bestFit="1" customWidth="1"/>
    <col min="16" max="16" width="13" style="107" bestFit="1" customWidth="1"/>
    <col min="17" max="17" width="11.5703125" style="62" bestFit="1" customWidth="1"/>
    <col min="18" max="18" width="13.28515625" style="62" bestFit="1" customWidth="1"/>
    <col min="19" max="16384" width="9.140625" style="62"/>
  </cols>
  <sheetData>
    <row r="1" spans="1:18" ht="15" customHeight="1">
      <c r="A1" s="7" t="s">
        <v>15</v>
      </c>
      <c r="B1" s="112" t="s">
        <v>19</v>
      </c>
      <c r="C1" s="113" t="s">
        <v>2</v>
      </c>
      <c r="D1" s="114" t="s">
        <v>460</v>
      </c>
      <c r="E1" s="115" t="s">
        <v>459</v>
      </c>
      <c r="F1" s="116" t="s">
        <v>461</v>
      </c>
      <c r="G1" s="117" t="s">
        <v>268</v>
      </c>
      <c r="H1" s="118" t="s">
        <v>9</v>
      </c>
      <c r="I1" s="118" t="s">
        <v>445</v>
      </c>
      <c r="J1" s="119" t="s">
        <v>37</v>
      </c>
      <c r="K1" s="118" t="s">
        <v>443</v>
      </c>
      <c r="L1" s="120" t="s">
        <v>269</v>
      </c>
      <c r="M1" s="120" t="s">
        <v>442</v>
      </c>
      <c r="N1" s="118" t="s">
        <v>444</v>
      </c>
      <c r="O1" s="121" t="s">
        <v>463</v>
      </c>
      <c r="P1" s="122" t="s">
        <v>464</v>
      </c>
      <c r="Q1" s="121" t="s">
        <v>467</v>
      </c>
      <c r="R1" s="121" t="s">
        <v>466</v>
      </c>
    </row>
    <row r="2" spans="1:18" ht="15" customHeight="1">
      <c r="A2" s="23">
        <v>9</v>
      </c>
      <c r="B2" s="15" t="s">
        <v>72</v>
      </c>
      <c r="C2" s="13">
        <v>35025</v>
      </c>
      <c r="D2" s="72">
        <v>90</v>
      </c>
      <c r="E2" s="14">
        <f>28/28</f>
        <v>1</v>
      </c>
      <c r="F2" s="24">
        <v>88</v>
      </c>
      <c r="G2" s="51">
        <v>95</v>
      </c>
      <c r="H2" s="17">
        <v>30000000</v>
      </c>
      <c r="I2" s="17">
        <v>29140617</v>
      </c>
      <c r="J2" s="20">
        <f t="shared" ref="J2:J24" si="0">I2/K2</f>
        <v>0.15193529374479425</v>
      </c>
      <c r="K2" s="17">
        <v>191796233</v>
      </c>
      <c r="L2" s="21">
        <f t="shared" ref="L2:L15" si="1">K2/I2</f>
        <v>6.5817492127912045</v>
      </c>
      <c r="M2" s="17">
        <v>181757800</v>
      </c>
      <c r="N2" s="17">
        <f t="shared" ref="N2:N24" si="2">K2+M2</f>
        <v>373554033</v>
      </c>
      <c r="O2" s="17">
        <f t="shared" ref="O2:O15" si="3">I2/P2</f>
        <v>11860.242979242979</v>
      </c>
      <c r="P2" s="108">
        <v>2457</v>
      </c>
      <c r="Q2" s="110">
        <f t="shared" ref="Q2:Q15" si="4">(R2/I2)-1</f>
        <v>-0.30802213281894475</v>
      </c>
      <c r="R2" s="17">
        <v>20164662</v>
      </c>
    </row>
    <row r="3" spans="1:18" ht="15" customHeight="1">
      <c r="A3" s="23">
        <v>13</v>
      </c>
      <c r="B3" s="15" t="s">
        <v>74</v>
      </c>
      <c r="C3" s="13">
        <v>36483</v>
      </c>
      <c r="D3" s="72">
        <v>83</v>
      </c>
      <c r="E3" s="14">
        <f>43/43</f>
        <v>1</v>
      </c>
      <c r="F3" s="24">
        <v>82</v>
      </c>
      <c r="G3" s="51">
        <v>88</v>
      </c>
      <c r="H3" s="17">
        <v>90000000</v>
      </c>
      <c r="I3" s="17">
        <v>57388839</v>
      </c>
      <c r="J3" s="20">
        <f t="shared" si="0"/>
        <v>0.2334282300585182</v>
      </c>
      <c r="K3" s="17">
        <v>245852179</v>
      </c>
      <c r="L3" s="21">
        <f t="shared" si="1"/>
        <v>4.283971993230252</v>
      </c>
      <c r="M3" s="17">
        <v>251514690</v>
      </c>
      <c r="N3" s="17">
        <f t="shared" si="2"/>
        <v>497366869</v>
      </c>
      <c r="O3" s="17">
        <f t="shared" si="3"/>
        <v>17734.499072929542</v>
      </c>
      <c r="P3" s="108">
        <v>3236</v>
      </c>
      <c r="Q3" s="110">
        <f t="shared" si="4"/>
        <v>-0.51627744203014814</v>
      </c>
      <c r="R3" s="17">
        <v>27760276</v>
      </c>
    </row>
    <row r="4" spans="1:18" ht="15" customHeight="1">
      <c r="A4" s="23">
        <v>1</v>
      </c>
      <c r="B4" s="15" t="s">
        <v>5</v>
      </c>
      <c r="C4" s="13">
        <v>42174</v>
      </c>
      <c r="D4" s="72">
        <v>98</v>
      </c>
      <c r="E4" s="14">
        <f>87/88</f>
        <v>0.98863636363636365</v>
      </c>
      <c r="F4" s="24">
        <v>89</v>
      </c>
      <c r="G4" s="51">
        <v>94</v>
      </c>
      <c r="H4" s="17">
        <v>175000000</v>
      </c>
      <c r="I4" s="18">
        <v>90440272</v>
      </c>
      <c r="J4" s="20">
        <f t="shared" si="0"/>
        <v>0.2537166523335237</v>
      </c>
      <c r="K4" s="17">
        <v>356461711</v>
      </c>
      <c r="L4" s="21">
        <f t="shared" si="1"/>
        <v>3.9414046764476782</v>
      </c>
      <c r="M4" s="17">
        <v>501149463</v>
      </c>
      <c r="N4" s="17">
        <f t="shared" si="2"/>
        <v>857611174</v>
      </c>
      <c r="O4" s="17">
        <f t="shared" si="3"/>
        <v>22919.480993411049</v>
      </c>
      <c r="P4" s="108">
        <v>3946</v>
      </c>
      <c r="Q4" s="110">
        <f t="shared" si="4"/>
        <v>-0.42145956836573861</v>
      </c>
      <c r="R4" s="18">
        <v>52323354</v>
      </c>
    </row>
    <row r="5" spans="1:18" ht="15" customHeight="1">
      <c r="A5" s="23">
        <v>5</v>
      </c>
      <c r="B5" s="15" t="s">
        <v>81</v>
      </c>
      <c r="C5" s="13">
        <v>40347</v>
      </c>
      <c r="D5" s="72">
        <v>93</v>
      </c>
      <c r="E5" s="14">
        <f>74/75</f>
        <v>0.98666666666666669</v>
      </c>
      <c r="F5" s="24">
        <v>86</v>
      </c>
      <c r="G5" s="51">
        <v>92</v>
      </c>
      <c r="H5" s="17">
        <v>200000000</v>
      </c>
      <c r="I5" s="17">
        <v>110307189</v>
      </c>
      <c r="J5" s="20">
        <f t="shared" si="0"/>
        <v>0.2657973299012773</v>
      </c>
      <c r="K5" s="17">
        <v>415004880</v>
      </c>
      <c r="L5" s="21">
        <f t="shared" si="1"/>
        <v>3.762265032426853</v>
      </c>
      <c r="M5" s="17">
        <v>651964823</v>
      </c>
      <c r="N5" s="17">
        <f t="shared" si="2"/>
        <v>1066969703</v>
      </c>
      <c r="O5" s="17">
        <f t="shared" si="3"/>
        <v>27385.101539225423</v>
      </c>
      <c r="P5" s="108">
        <v>4028</v>
      </c>
      <c r="Q5" s="110">
        <f t="shared" si="4"/>
        <v>-0.46206888655280665</v>
      </c>
      <c r="R5" s="17">
        <v>59337669</v>
      </c>
    </row>
    <row r="6" spans="1:18" ht="15" customHeight="1">
      <c r="A6" s="23">
        <v>11</v>
      </c>
      <c r="B6" s="15" t="s">
        <v>75</v>
      </c>
      <c r="C6" s="13">
        <v>37771</v>
      </c>
      <c r="D6" s="72">
        <v>85</v>
      </c>
      <c r="E6" s="14">
        <f>60/61</f>
        <v>0.98360655737704916</v>
      </c>
      <c r="F6" s="24">
        <v>87</v>
      </c>
      <c r="G6" s="51">
        <v>90</v>
      </c>
      <c r="H6" s="17">
        <v>94000000</v>
      </c>
      <c r="I6" s="17">
        <v>70251710</v>
      </c>
      <c r="J6" s="20">
        <f t="shared" si="0"/>
        <v>0.20679603358554299</v>
      </c>
      <c r="K6" s="17">
        <v>339714978</v>
      </c>
      <c r="L6" s="21">
        <f t="shared" si="1"/>
        <v>4.8356826901437699</v>
      </c>
      <c r="M6" s="17">
        <v>531300000</v>
      </c>
      <c r="N6" s="17">
        <f t="shared" si="2"/>
        <v>871014978</v>
      </c>
      <c r="O6" s="17">
        <f t="shared" si="3"/>
        <v>20821.49081209247</v>
      </c>
      <c r="P6" s="108">
        <v>3374</v>
      </c>
      <c r="Q6" s="110">
        <f t="shared" si="4"/>
        <v>-0.33681829239459082</v>
      </c>
      <c r="R6" s="17">
        <v>46589649</v>
      </c>
    </row>
    <row r="7" spans="1:18" ht="15" customHeight="1">
      <c r="A7" s="23">
        <v>4</v>
      </c>
      <c r="B7" s="15" t="s">
        <v>78</v>
      </c>
      <c r="C7" s="13">
        <v>39262</v>
      </c>
      <c r="D7" s="72">
        <v>93</v>
      </c>
      <c r="E7" s="14">
        <f>53/54</f>
        <v>0.98148148148148151</v>
      </c>
      <c r="F7" s="24">
        <v>84</v>
      </c>
      <c r="G7" s="51">
        <v>96</v>
      </c>
      <c r="H7" s="17">
        <v>150000000</v>
      </c>
      <c r="I7" s="17">
        <v>47027395</v>
      </c>
      <c r="J7" s="20">
        <f t="shared" si="0"/>
        <v>0.22779551949298968</v>
      </c>
      <c r="K7" s="17">
        <v>206445654</v>
      </c>
      <c r="L7" s="21">
        <f t="shared" si="1"/>
        <v>4.3899019709681983</v>
      </c>
      <c r="M7" s="17">
        <v>414257297</v>
      </c>
      <c r="N7" s="17">
        <f t="shared" si="2"/>
        <v>620702951</v>
      </c>
      <c r="O7" s="17">
        <f t="shared" si="3"/>
        <v>11935.887055837564</v>
      </c>
      <c r="P7" s="108">
        <v>3940</v>
      </c>
      <c r="Q7" s="110">
        <f t="shared" si="4"/>
        <v>-0.38303422930400466</v>
      </c>
      <c r="R7" s="17">
        <v>29014293</v>
      </c>
    </row>
    <row r="8" spans="1:18" ht="15" customHeight="1">
      <c r="A8" s="23">
        <v>10</v>
      </c>
      <c r="B8" s="15" t="s">
        <v>33</v>
      </c>
      <c r="C8" s="13">
        <v>43637</v>
      </c>
      <c r="D8" s="72">
        <v>90</v>
      </c>
      <c r="E8" s="14">
        <f>79/81</f>
        <v>0.97530864197530864</v>
      </c>
      <c r="F8" s="24">
        <v>83</v>
      </c>
      <c r="G8" s="51">
        <v>84</v>
      </c>
      <c r="H8" s="17">
        <v>200000000</v>
      </c>
      <c r="I8" s="17">
        <v>120908065</v>
      </c>
      <c r="J8" s="20">
        <f t="shared" si="0"/>
        <v>0.27856561584809414</v>
      </c>
      <c r="K8" s="17">
        <v>434038008</v>
      </c>
      <c r="L8" s="21">
        <f t="shared" si="1"/>
        <v>3.589818495565205</v>
      </c>
      <c r="M8" s="17">
        <v>639356585</v>
      </c>
      <c r="N8" s="17">
        <f t="shared" si="2"/>
        <v>1073394593</v>
      </c>
      <c r="O8" s="17">
        <f t="shared" si="3"/>
        <v>26427.992349726777</v>
      </c>
      <c r="P8" s="108">
        <v>4575</v>
      </c>
      <c r="Q8" s="110">
        <f t="shared" si="4"/>
        <v>-0.5062336743210637</v>
      </c>
      <c r="R8" s="17">
        <v>59700331</v>
      </c>
    </row>
    <row r="9" spans="1:18" ht="15" customHeight="1">
      <c r="A9" s="23">
        <v>7</v>
      </c>
      <c r="B9" s="15" t="s">
        <v>80</v>
      </c>
      <c r="C9" s="13">
        <v>39962</v>
      </c>
      <c r="D9" s="72">
        <v>90</v>
      </c>
      <c r="E9" s="14">
        <f>58/60</f>
        <v>0.96666666666666667</v>
      </c>
      <c r="F9" s="24">
        <v>83</v>
      </c>
      <c r="G9" s="51">
        <v>88</v>
      </c>
      <c r="H9" s="17">
        <v>175000000</v>
      </c>
      <c r="I9" s="17">
        <v>68108790</v>
      </c>
      <c r="J9" s="20">
        <f t="shared" si="0"/>
        <v>0.23244990470510857</v>
      </c>
      <c r="K9" s="17">
        <v>293004164</v>
      </c>
      <c r="L9" s="21">
        <f t="shared" si="1"/>
        <v>4.3020021938431148</v>
      </c>
      <c r="M9" s="17">
        <v>442094918</v>
      </c>
      <c r="N9" s="17">
        <f t="shared" si="2"/>
        <v>735099082</v>
      </c>
      <c r="O9" s="17">
        <f t="shared" si="3"/>
        <v>18085.180562931491</v>
      </c>
      <c r="P9" s="108">
        <v>3766</v>
      </c>
      <c r="Q9" s="110">
        <f t="shared" si="4"/>
        <v>-0.35194464620499055</v>
      </c>
      <c r="R9" s="17">
        <v>44138266</v>
      </c>
    </row>
    <row r="10" spans="1:18" ht="15" customHeight="1">
      <c r="A10" s="23">
        <v>2</v>
      </c>
      <c r="B10" s="15" t="s">
        <v>79</v>
      </c>
      <c r="C10" s="13">
        <v>39626</v>
      </c>
      <c r="D10" s="72">
        <v>96</v>
      </c>
      <c r="E10" s="14">
        <f>51/53</f>
        <v>0.96226415094339623</v>
      </c>
      <c r="F10" s="24">
        <v>86</v>
      </c>
      <c r="G10" s="51">
        <v>95</v>
      </c>
      <c r="H10" s="17">
        <v>180000000</v>
      </c>
      <c r="I10" s="17">
        <v>63087526</v>
      </c>
      <c r="J10" s="20">
        <f t="shared" si="0"/>
        <v>0.28188214796311006</v>
      </c>
      <c r="K10" s="17">
        <v>223808164</v>
      </c>
      <c r="L10" s="21">
        <f t="shared" si="1"/>
        <v>3.5475818785475912</v>
      </c>
      <c r="M10" s="17">
        <v>309473269</v>
      </c>
      <c r="N10" s="17">
        <f t="shared" si="2"/>
        <v>533281433</v>
      </c>
      <c r="O10" s="17">
        <f t="shared" si="3"/>
        <v>15803.488476953908</v>
      </c>
      <c r="P10" s="108">
        <v>3992</v>
      </c>
      <c r="Q10" s="110">
        <f t="shared" si="4"/>
        <v>-0.48469676873998835</v>
      </c>
      <c r="R10" s="17">
        <v>32509206</v>
      </c>
    </row>
    <row r="11" spans="1:18" ht="15" customHeight="1">
      <c r="A11" s="23">
        <v>6</v>
      </c>
      <c r="B11" s="15" t="s">
        <v>76</v>
      </c>
      <c r="C11" s="13">
        <v>38296</v>
      </c>
      <c r="D11" s="72">
        <v>92</v>
      </c>
      <c r="E11" s="14">
        <f>46/48</f>
        <v>0.95833333333333337</v>
      </c>
      <c r="F11" s="24">
        <v>79</v>
      </c>
      <c r="G11" s="51">
        <v>90</v>
      </c>
      <c r="H11" s="17">
        <v>92000000</v>
      </c>
      <c r="I11" s="17">
        <v>70467623</v>
      </c>
      <c r="J11" s="20">
        <f t="shared" si="0"/>
        <v>0.26953537586968157</v>
      </c>
      <c r="K11" s="17">
        <v>261441092</v>
      </c>
      <c r="L11" s="21">
        <f t="shared" si="1"/>
        <v>3.7100881350858108</v>
      </c>
      <c r="M11" s="17">
        <v>371578642</v>
      </c>
      <c r="N11" s="17">
        <f t="shared" si="2"/>
        <v>633019734</v>
      </c>
      <c r="O11" s="17">
        <f t="shared" si="3"/>
        <v>17917.015764047799</v>
      </c>
      <c r="P11" s="108">
        <v>3933</v>
      </c>
      <c r="Q11" s="110">
        <f t="shared" si="4"/>
        <v>-0.28688727020067073</v>
      </c>
      <c r="R11" s="17">
        <v>50251359</v>
      </c>
    </row>
    <row r="12" spans="1:18" ht="15" customHeight="1">
      <c r="A12" s="23">
        <v>14</v>
      </c>
      <c r="B12" s="15" t="s">
        <v>73</v>
      </c>
      <c r="C12" s="13">
        <v>36119</v>
      </c>
      <c r="D12" s="72">
        <v>78</v>
      </c>
      <c r="E12" s="14">
        <f>19/20</f>
        <v>0.95</v>
      </c>
      <c r="F12" s="24">
        <v>75</v>
      </c>
      <c r="G12" s="51">
        <v>77</v>
      </c>
      <c r="H12" s="17">
        <v>120000000</v>
      </c>
      <c r="I12" s="17">
        <v>33258052</v>
      </c>
      <c r="J12" s="20">
        <f t="shared" si="0"/>
        <v>0.20428958940762162</v>
      </c>
      <c r="K12" s="17">
        <v>162798565</v>
      </c>
      <c r="L12" s="21">
        <f t="shared" si="1"/>
        <v>4.895012040993862</v>
      </c>
      <c r="M12" s="17">
        <v>200460294</v>
      </c>
      <c r="N12" s="17">
        <f t="shared" si="2"/>
        <v>363258859</v>
      </c>
      <c r="O12" s="17">
        <f t="shared" si="3"/>
        <v>12382</v>
      </c>
      <c r="P12" s="108">
        <v>2686</v>
      </c>
      <c r="Q12" s="110">
        <f t="shared" si="4"/>
        <v>-0.48360721788516059</v>
      </c>
      <c r="R12" s="17">
        <v>17174218</v>
      </c>
    </row>
    <row r="13" spans="1:18" ht="15" customHeight="1">
      <c r="A13" s="23">
        <v>3</v>
      </c>
      <c r="B13" s="15" t="s">
        <v>27</v>
      </c>
      <c r="C13" s="13">
        <v>43061</v>
      </c>
      <c r="D13" s="72">
        <v>95</v>
      </c>
      <c r="E13" s="14">
        <f>73/77</f>
        <v>0.94805194805194803</v>
      </c>
      <c r="F13" s="24">
        <v>80</v>
      </c>
      <c r="G13" s="51">
        <v>81</v>
      </c>
      <c r="H13" s="17">
        <v>175000000</v>
      </c>
      <c r="I13" s="17">
        <v>50802605</v>
      </c>
      <c r="J13" s="20">
        <f t="shared" si="0"/>
        <v>0.24223320602358273</v>
      </c>
      <c r="K13" s="17">
        <v>209726015</v>
      </c>
      <c r="L13" s="21">
        <f t="shared" si="1"/>
        <v>4.1282531673326597</v>
      </c>
      <c r="M13" s="17">
        <v>597356181</v>
      </c>
      <c r="N13" s="17">
        <f t="shared" si="2"/>
        <v>807082196</v>
      </c>
      <c r="O13" s="17">
        <f t="shared" si="3"/>
        <v>12742.062954602457</v>
      </c>
      <c r="P13" s="108">
        <v>3987</v>
      </c>
      <c r="Q13" s="110">
        <f t="shared" si="4"/>
        <v>-0.45803361855164715</v>
      </c>
      <c r="R13" s="17">
        <v>27533304</v>
      </c>
    </row>
    <row r="14" spans="1:18" ht="15" customHeight="1">
      <c r="A14" s="23">
        <v>17</v>
      </c>
      <c r="B14" s="15" t="s">
        <v>7</v>
      </c>
      <c r="C14" s="13">
        <v>42538</v>
      </c>
      <c r="D14" s="72">
        <v>71</v>
      </c>
      <c r="E14" s="14">
        <f>81/87</f>
        <v>0.93103448275862066</v>
      </c>
      <c r="F14" s="24">
        <v>76</v>
      </c>
      <c r="G14" s="51">
        <v>77</v>
      </c>
      <c r="H14" s="17">
        <v>200000000</v>
      </c>
      <c r="I14" s="17">
        <v>135060273</v>
      </c>
      <c r="J14" s="20">
        <f t="shared" si="0"/>
        <v>0.27773289298028364</v>
      </c>
      <c r="K14" s="17">
        <v>486295561</v>
      </c>
      <c r="L14" s="21">
        <f t="shared" si="1"/>
        <v>3.600581800985994</v>
      </c>
      <c r="M14" s="17">
        <v>542275328</v>
      </c>
      <c r="N14" s="17">
        <f t="shared" si="2"/>
        <v>1028570889</v>
      </c>
      <c r="O14" s="17">
        <f t="shared" si="3"/>
        <v>31372.885714285716</v>
      </c>
      <c r="P14" s="108">
        <v>4305</v>
      </c>
      <c r="Q14" s="110">
        <f t="shared" si="4"/>
        <v>-0.45979707889380617</v>
      </c>
      <c r="R14" s="17">
        <v>72959954</v>
      </c>
    </row>
    <row r="15" spans="1:18" ht="15" customHeight="1">
      <c r="A15" s="23">
        <v>8</v>
      </c>
      <c r="B15" s="15" t="s">
        <v>94</v>
      </c>
      <c r="C15" s="13">
        <v>37197</v>
      </c>
      <c r="D15" s="72">
        <v>90</v>
      </c>
      <c r="E15" s="14">
        <f>42/46</f>
        <v>0.91304347826086951</v>
      </c>
      <c r="F15" s="24">
        <v>74</v>
      </c>
      <c r="G15" s="51">
        <v>79</v>
      </c>
      <c r="H15" s="17">
        <v>115000000</v>
      </c>
      <c r="I15" s="17">
        <v>62577067</v>
      </c>
      <c r="J15" s="20">
        <f t="shared" si="0"/>
        <v>0.24456275519226806</v>
      </c>
      <c r="K15" s="17">
        <v>255873250</v>
      </c>
      <c r="L15" s="21">
        <f t="shared" si="1"/>
        <v>4.0889300548394187</v>
      </c>
      <c r="M15" s="17">
        <v>272900000</v>
      </c>
      <c r="N15" s="17">
        <f t="shared" si="2"/>
        <v>528773250</v>
      </c>
      <c r="O15" s="17">
        <f t="shared" si="3"/>
        <v>19331.8093914118</v>
      </c>
      <c r="P15" s="108">
        <v>3237</v>
      </c>
      <c r="Q15" s="110">
        <f t="shared" si="4"/>
        <v>-0.27208112837886766</v>
      </c>
      <c r="R15" s="17">
        <v>45551028</v>
      </c>
    </row>
    <row r="16" spans="1:18" ht="15" customHeight="1">
      <c r="A16" s="23"/>
      <c r="B16" s="15" t="s">
        <v>304</v>
      </c>
      <c r="C16" s="13">
        <v>44190</v>
      </c>
      <c r="D16" s="72">
        <v>98</v>
      </c>
      <c r="E16" s="14">
        <f>64/72</f>
        <v>0.88888888888888884</v>
      </c>
      <c r="F16" s="24">
        <v>80</v>
      </c>
      <c r="G16" s="51">
        <v>89</v>
      </c>
      <c r="H16" s="17">
        <v>150000000</v>
      </c>
      <c r="I16" s="17">
        <v>0</v>
      </c>
      <c r="J16" s="20" t="e">
        <f t="shared" si="0"/>
        <v>#DIV/0!</v>
      </c>
      <c r="K16" s="17">
        <v>0</v>
      </c>
      <c r="L16" s="21">
        <v>0</v>
      </c>
      <c r="M16" s="17">
        <v>0</v>
      </c>
      <c r="N16" s="17">
        <f t="shared" si="2"/>
        <v>0</v>
      </c>
      <c r="O16" s="17">
        <v>0</v>
      </c>
      <c r="P16" s="108">
        <v>0</v>
      </c>
      <c r="Q16" s="110">
        <v>0</v>
      </c>
      <c r="R16" s="17">
        <v>0</v>
      </c>
    </row>
    <row r="17" spans="1:18" ht="15" customHeight="1">
      <c r="A17" s="23">
        <v>16</v>
      </c>
      <c r="B17" s="15" t="s">
        <v>90</v>
      </c>
      <c r="C17" s="13">
        <v>43266</v>
      </c>
      <c r="D17" s="72">
        <v>71</v>
      </c>
      <c r="E17" s="14">
        <f>79/89</f>
        <v>0.88764044943820219</v>
      </c>
      <c r="F17" s="24">
        <v>77</v>
      </c>
      <c r="G17" s="51">
        <v>80</v>
      </c>
      <c r="H17" s="17">
        <v>200000000</v>
      </c>
      <c r="I17" s="17">
        <v>182687905</v>
      </c>
      <c r="J17" s="20">
        <f t="shared" si="0"/>
        <v>0.30018630496415283</v>
      </c>
      <c r="K17" s="17">
        <v>608581744</v>
      </c>
      <c r="L17" s="21">
        <f t="shared" ref="L17:L24" si="5">K17/I17</f>
        <v>3.3312645629167403</v>
      </c>
      <c r="M17" s="17">
        <v>634223615</v>
      </c>
      <c r="N17" s="17">
        <f t="shared" si="2"/>
        <v>1242805359</v>
      </c>
      <c r="O17" s="17">
        <f t="shared" ref="O17:O24" si="6">I17/P17</f>
        <v>41425.828798185939</v>
      </c>
      <c r="P17" s="108">
        <v>4410</v>
      </c>
      <c r="Q17" s="110">
        <f t="shared" ref="Q17:Q24" si="7">(R17/I17)-1</f>
        <v>-0.56019173245212928</v>
      </c>
      <c r="R17" s="17">
        <v>80347651</v>
      </c>
    </row>
    <row r="18" spans="1:18" ht="15" customHeight="1">
      <c r="A18" s="23">
        <v>12</v>
      </c>
      <c r="B18" s="15" t="s">
        <v>204</v>
      </c>
      <c r="C18" s="13">
        <v>43896</v>
      </c>
      <c r="D18" s="72">
        <v>85</v>
      </c>
      <c r="E18" s="14">
        <f>49/62</f>
        <v>0.79032258064516125</v>
      </c>
      <c r="F18" s="24">
        <v>67</v>
      </c>
      <c r="G18" s="51">
        <v>61</v>
      </c>
      <c r="H18" s="17">
        <v>187500000</v>
      </c>
      <c r="I18" s="17">
        <v>39119861</v>
      </c>
      <c r="J18" s="20">
        <f t="shared" si="0"/>
        <v>0.63552544632946606</v>
      </c>
      <c r="K18" s="17">
        <v>61555145</v>
      </c>
      <c r="L18" s="21">
        <f t="shared" si="5"/>
        <v>1.5735011175014144</v>
      </c>
      <c r="M18" s="17">
        <v>74946372</v>
      </c>
      <c r="N18" s="17">
        <f t="shared" si="2"/>
        <v>136501517</v>
      </c>
      <c r="O18" s="17">
        <f t="shared" si="6"/>
        <v>9076.5338747099777</v>
      </c>
      <c r="P18" s="108">
        <v>4310</v>
      </c>
      <c r="Q18" s="110">
        <f t="shared" si="7"/>
        <v>-0.72898799410355775</v>
      </c>
      <c r="R18" s="17">
        <v>10601952</v>
      </c>
    </row>
    <row r="19" spans="1:18" ht="15" customHeight="1">
      <c r="A19" s="23">
        <v>21</v>
      </c>
      <c r="B19" s="15" t="s">
        <v>6</v>
      </c>
      <c r="C19" s="13">
        <v>42333</v>
      </c>
      <c r="D19" s="72">
        <v>52</v>
      </c>
      <c r="E19" s="14">
        <f>43/56</f>
        <v>0.7678571428571429</v>
      </c>
      <c r="F19" s="24">
        <v>62</v>
      </c>
      <c r="G19" s="51">
        <v>66</v>
      </c>
      <c r="H19" s="17">
        <v>187500000</v>
      </c>
      <c r="I19" s="17">
        <v>39155217</v>
      </c>
      <c r="J19" s="20">
        <f t="shared" si="0"/>
        <v>0.31810978272950086</v>
      </c>
      <c r="K19" s="17">
        <v>123087120</v>
      </c>
      <c r="L19" s="21">
        <f t="shared" si="5"/>
        <v>3.1435688378383908</v>
      </c>
      <c r="M19" s="17">
        <v>209120551</v>
      </c>
      <c r="N19" s="17">
        <f t="shared" si="2"/>
        <v>332207671</v>
      </c>
      <c r="O19" s="17">
        <f t="shared" si="6"/>
        <v>10444.176313683649</v>
      </c>
      <c r="P19" s="108">
        <v>3749</v>
      </c>
      <c r="Q19" s="110">
        <f t="shared" si="7"/>
        <v>-0.60863560020622542</v>
      </c>
      <c r="R19" s="17">
        <v>15323958</v>
      </c>
    </row>
    <row r="20" spans="1:18" ht="15" customHeight="1">
      <c r="A20" s="23">
        <v>20</v>
      </c>
      <c r="B20" s="15" t="s">
        <v>128</v>
      </c>
      <c r="C20" s="13">
        <v>41446</v>
      </c>
      <c r="D20" s="72">
        <v>60</v>
      </c>
      <c r="E20" s="14">
        <f>43/59</f>
        <v>0.72881355932203384</v>
      </c>
      <c r="F20" s="24">
        <v>68</v>
      </c>
      <c r="G20" s="51">
        <v>65</v>
      </c>
      <c r="H20" s="17">
        <v>200000000</v>
      </c>
      <c r="I20" s="17">
        <v>82429469</v>
      </c>
      <c r="J20" s="20">
        <f t="shared" si="0"/>
        <v>0.30700815832787209</v>
      </c>
      <c r="K20" s="17">
        <v>268492764</v>
      </c>
      <c r="L20" s="21">
        <f t="shared" si="5"/>
        <v>3.2572424311019157</v>
      </c>
      <c r="M20" s="17">
        <v>475736673</v>
      </c>
      <c r="N20" s="17">
        <f t="shared" si="2"/>
        <v>744229437</v>
      </c>
      <c r="O20" s="17">
        <f t="shared" si="6"/>
        <v>20586.780469530469</v>
      </c>
      <c r="P20" s="108">
        <v>4004</v>
      </c>
      <c r="Q20" s="110">
        <f t="shared" si="7"/>
        <v>-0.44670582555857541</v>
      </c>
      <c r="R20" s="17">
        <v>45607745</v>
      </c>
    </row>
    <row r="21" spans="1:18" ht="15" customHeight="1">
      <c r="A21" s="23">
        <v>15</v>
      </c>
      <c r="B21" s="15" t="s">
        <v>77</v>
      </c>
      <c r="C21" s="13">
        <v>38877</v>
      </c>
      <c r="D21" s="72">
        <v>73</v>
      </c>
      <c r="E21" s="14">
        <f>34/47</f>
        <v>0.72340425531914898</v>
      </c>
      <c r="F21" s="24">
        <v>67</v>
      </c>
      <c r="G21" s="51">
        <v>73</v>
      </c>
      <c r="H21" s="17">
        <v>120000000</v>
      </c>
      <c r="I21" s="17">
        <v>60119509</v>
      </c>
      <c r="J21" s="20">
        <f t="shared" si="0"/>
        <v>0.24630766351420599</v>
      </c>
      <c r="K21" s="17">
        <v>244082982</v>
      </c>
      <c r="L21" s="21">
        <f t="shared" si="5"/>
        <v>4.0599629980344654</v>
      </c>
      <c r="M21" s="17">
        <v>218133298</v>
      </c>
      <c r="N21" s="17">
        <f t="shared" si="2"/>
        <v>462216280</v>
      </c>
      <c r="O21" s="17">
        <f t="shared" si="6"/>
        <v>15086.451442910917</v>
      </c>
      <c r="P21" s="108">
        <v>3985</v>
      </c>
      <c r="Q21" s="110">
        <f t="shared" si="7"/>
        <v>-0.43892366120288839</v>
      </c>
      <c r="R21" s="17">
        <v>33731634</v>
      </c>
    </row>
    <row r="22" spans="1:18" ht="15" customHeight="1">
      <c r="A22" s="23">
        <v>18</v>
      </c>
      <c r="B22" s="15" t="s">
        <v>83</v>
      </c>
      <c r="C22" s="13">
        <v>41082</v>
      </c>
      <c r="D22" s="72">
        <v>60</v>
      </c>
      <c r="E22" s="14">
        <f>46/66</f>
        <v>0.69696969696969702</v>
      </c>
      <c r="F22" s="24">
        <v>67</v>
      </c>
      <c r="G22" s="51">
        <v>69</v>
      </c>
      <c r="H22" s="17">
        <v>185000000</v>
      </c>
      <c r="I22" s="17">
        <v>66323594</v>
      </c>
      <c r="J22" s="20">
        <f t="shared" si="0"/>
        <v>0.27951238032618125</v>
      </c>
      <c r="K22" s="17">
        <v>237283207</v>
      </c>
      <c r="L22" s="21">
        <f t="shared" si="5"/>
        <v>3.577659060514724</v>
      </c>
      <c r="M22" s="17">
        <v>303153856</v>
      </c>
      <c r="N22" s="17">
        <f t="shared" si="2"/>
        <v>540437063</v>
      </c>
      <c r="O22" s="17">
        <f t="shared" si="6"/>
        <v>15927.856388088376</v>
      </c>
      <c r="P22" s="108">
        <v>4164</v>
      </c>
      <c r="Q22" s="110">
        <f t="shared" si="7"/>
        <v>-0.48593492988332332</v>
      </c>
      <c r="R22" s="17">
        <v>34094643</v>
      </c>
    </row>
    <row r="23" spans="1:18" ht="15" customHeight="1">
      <c r="A23" s="23">
        <v>19</v>
      </c>
      <c r="B23" s="15" t="s">
        <v>25</v>
      </c>
      <c r="C23" s="13">
        <v>42902</v>
      </c>
      <c r="D23" s="72">
        <v>60</v>
      </c>
      <c r="E23" s="14">
        <f>36/57</f>
        <v>0.63157894736842102</v>
      </c>
      <c r="F23" s="24">
        <v>60</v>
      </c>
      <c r="G23" s="51">
        <v>59</v>
      </c>
      <c r="H23" s="17">
        <v>175000000</v>
      </c>
      <c r="I23" s="17">
        <v>53688680</v>
      </c>
      <c r="J23" s="20">
        <f t="shared" si="0"/>
        <v>0.3511333452342712</v>
      </c>
      <c r="K23" s="17">
        <v>152901115</v>
      </c>
      <c r="L23" s="21">
        <f t="shared" si="5"/>
        <v>2.8479209211327228</v>
      </c>
      <c r="M23" s="17">
        <v>231029541</v>
      </c>
      <c r="N23" s="17">
        <f t="shared" si="2"/>
        <v>383930656</v>
      </c>
      <c r="O23" s="17">
        <f t="shared" si="6"/>
        <v>12614.821428571429</v>
      </c>
      <c r="P23" s="108">
        <v>4256</v>
      </c>
      <c r="Q23" s="110">
        <f t="shared" si="7"/>
        <v>-0.55159081951726141</v>
      </c>
      <c r="R23" s="17">
        <v>24074497</v>
      </c>
    </row>
    <row r="24" spans="1:18" ht="15" customHeight="1">
      <c r="A24" s="23">
        <v>22</v>
      </c>
      <c r="B24" s="15" t="s">
        <v>82</v>
      </c>
      <c r="C24" s="13">
        <v>40718</v>
      </c>
      <c r="D24" s="72">
        <v>24</v>
      </c>
      <c r="E24" s="14">
        <f>21/52</f>
        <v>0.40384615384615385</v>
      </c>
      <c r="F24" s="24">
        <v>59</v>
      </c>
      <c r="G24" s="51">
        <v>57</v>
      </c>
      <c r="H24" s="17">
        <v>200000000</v>
      </c>
      <c r="I24" s="17">
        <v>66135507</v>
      </c>
      <c r="J24" s="20">
        <f t="shared" si="0"/>
        <v>0.34544099933855099</v>
      </c>
      <c r="K24" s="17">
        <v>191452396</v>
      </c>
      <c r="L24" s="21">
        <f t="shared" si="5"/>
        <v>2.8948503562541679</v>
      </c>
      <c r="M24" s="17">
        <v>370658161</v>
      </c>
      <c r="N24" s="17">
        <f t="shared" si="2"/>
        <v>562110557</v>
      </c>
      <c r="O24" s="17">
        <f t="shared" si="6"/>
        <v>16071.812150668287</v>
      </c>
      <c r="P24" s="108">
        <v>4115</v>
      </c>
      <c r="Q24" s="110">
        <f t="shared" si="7"/>
        <v>-0.60273402001741672</v>
      </c>
      <c r="R24" s="17">
        <v>26273387</v>
      </c>
    </row>
    <row r="25" spans="1:18" ht="15" customHeight="1">
      <c r="A25" s="62"/>
      <c r="D25" s="62"/>
      <c r="E25" s="106"/>
      <c r="F25" s="62"/>
      <c r="I25" s="62"/>
      <c r="M25" s="62"/>
    </row>
    <row r="26" spans="1:18" ht="15" customHeight="1">
      <c r="A26" s="62"/>
      <c r="D26" s="62"/>
      <c r="E26" s="106"/>
      <c r="F26" s="62"/>
      <c r="I26" s="62"/>
      <c r="M26" s="62"/>
    </row>
    <row r="27" spans="1:18" ht="15" customHeight="1">
      <c r="A27" s="62"/>
      <c r="D27" s="62"/>
      <c r="E27" s="106"/>
      <c r="F27" s="62"/>
      <c r="I27" s="62"/>
      <c r="M27" s="62"/>
    </row>
    <row r="28" spans="1:18" ht="15" customHeight="1">
      <c r="A28" s="62"/>
      <c r="B28" s="62"/>
      <c r="D28" s="62"/>
      <c r="E28" s="106"/>
      <c r="F28" s="62"/>
      <c r="I28" s="62"/>
      <c r="M28" s="62"/>
    </row>
    <row r="29" spans="1:18" ht="15" customHeight="1">
      <c r="A29" s="62"/>
      <c r="B29" s="62"/>
      <c r="D29" s="62"/>
      <c r="E29" s="106"/>
      <c r="F29" s="62"/>
      <c r="I29" s="62"/>
      <c r="M29" s="62"/>
    </row>
    <row r="30" spans="1:18" ht="15" customHeight="1">
      <c r="A30" s="62"/>
      <c r="B30" s="62"/>
      <c r="D30" s="62"/>
      <c r="E30" s="106"/>
      <c r="F30" s="62"/>
      <c r="I30" s="62"/>
      <c r="M30" s="62"/>
    </row>
    <row r="31" spans="1:18" ht="15" customHeight="1">
      <c r="A31" s="62"/>
      <c r="B31" s="62"/>
      <c r="D31" s="62"/>
      <c r="E31" s="106"/>
      <c r="F31" s="62"/>
      <c r="I31" s="62"/>
      <c r="M31" s="62"/>
    </row>
    <row r="32" spans="1:18" ht="15" customHeight="1">
      <c r="A32" s="62"/>
      <c r="B32" s="62"/>
      <c r="D32" s="62"/>
      <c r="E32" s="106"/>
      <c r="F32" s="62"/>
      <c r="I32" s="62"/>
      <c r="M32" s="62"/>
    </row>
    <row r="33" spans="1:13" ht="15" customHeight="1">
      <c r="A33" s="62"/>
      <c r="B33" s="62"/>
      <c r="D33" s="62"/>
      <c r="E33" s="106"/>
      <c r="F33" s="62"/>
      <c r="I33" s="62"/>
      <c r="M33" s="62"/>
    </row>
    <row r="34" spans="1:13" ht="15" customHeight="1">
      <c r="A34" s="62"/>
      <c r="B34" s="62"/>
      <c r="D34" s="62"/>
      <c r="E34" s="106"/>
      <c r="F34" s="62"/>
      <c r="I34" s="62"/>
      <c r="M34" s="62"/>
    </row>
    <row r="35" spans="1:13" ht="15" customHeight="1">
      <c r="A35" s="62"/>
      <c r="B35" s="62"/>
      <c r="D35" s="62"/>
      <c r="E35" s="106"/>
      <c r="F35" s="62"/>
      <c r="I35" s="62"/>
      <c r="M35" s="62"/>
    </row>
    <row r="36" spans="1:13" ht="15" customHeight="1">
      <c r="A36" s="62"/>
      <c r="B36" s="62"/>
      <c r="D36" s="62"/>
      <c r="E36" s="106"/>
      <c r="F36" s="62"/>
      <c r="I36" s="62"/>
      <c r="M36" s="62"/>
    </row>
    <row r="37" spans="1:13" ht="15" customHeight="1">
      <c r="A37" s="62"/>
      <c r="B37" s="62"/>
      <c r="D37" s="62"/>
      <c r="E37" s="106"/>
      <c r="F37" s="62"/>
      <c r="I37" s="62"/>
      <c r="M37" s="62"/>
    </row>
    <row r="38" spans="1:13" ht="15" customHeight="1">
      <c r="A38" s="62"/>
      <c r="B38" s="62"/>
      <c r="D38" s="62"/>
      <c r="E38" s="106"/>
      <c r="F38" s="62"/>
      <c r="I38" s="62"/>
      <c r="M38" s="62"/>
    </row>
    <row r="39" spans="1:13" ht="15" customHeight="1">
      <c r="A39" s="62"/>
      <c r="B39" s="15" t="s">
        <v>83</v>
      </c>
      <c r="D39" s="62"/>
      <c r="E39" s="106"/>
      <c r="F39" s="62"/>
      <c r="I39" s="62"/>
      <c r="M39" s="62"/>
    </row>
    <row r="40" spans="1:13" ht="15" customHeight="1">
      <c r="A40" s="62"/>
      <c r="B40" s="6" t="s">
        <v>443</v>
      </c>
      <c r="D40" s="62"/>
      <c r="E40" s="106"/>
      <c r="F40" s="62"/>
      <c r="I40" s="62"/>
      <c r="M40" s="62"/>
    </row>
    <row r="41" spans="1:13" ht="15" customHeight="1">
      <c r="A41" s="62"/>
      <c r="B41" s="90">
        <f>INDEX(A1:N23,MATCH(B39,B1:B23,0),MATCH(B40,A1:N1,0))</f>
        <v>237283207</v>
      </c>
      <c r="D41" s="62"/>
      <c r="E41" s="106"/>
      <c r="F41" s="62"/>
      <c r="I41" s="62"/>
      <c r="M41" s="62"/>
    </row>
    <row r="42" spans="1:13" ht="15" customHeight="1">
      <c r="A42" s="62"/>
      <c r="B42" s="62"/>
      <c r="D42" s="62"/>
      <c r="E42" s="106"/>
      <c r="F42" s="62"/>
      <c r="I42" s="62"/>
      <c r="M42" s="62"/>
    </row>
    <row r="43" spans="1:13" ht="15" customHeight="1">
      <c r="A43" s="62"/>
      <c r="B43" s="62"/>
      <c r="D43" s="62"/>
      <c r="E43" s="106"/>
      <c r="F43" s="62"/>
      <c r="I43" s="62"/>
      <c r="M43" s="62"/>
    </row>
    <row r="44" spans="1:13" ht="15" customHeight="1">
      <c r="A44" s="62"/>
      <c r="B44" s="62"/>
      <c r="D44" s="62"/>
      <c r="E44" s="106"/>
      <c r="F44" s="62"/>
      <c r="I44" s="62"/>
      <c r="M44" s="62"/>
    </row>
    <row r="45" spans="1:13" ht="15" customHeight="1">
      <c r="A45" s="62"/>
      <c r="B45" s="62"/>
      <c r="D45" s="62"/>
      <c r="E45" s="106"/>
      <c r="F45" s="62"/>
      <c r="I45" s="62"/>
      <c r="M45" s="62"/>
    </row>
  </sheetData>
  <autoFilter ref="A1:R23" xr:uid="{932747B1-EF4F-4D48-A6C5-251A84C013F5}">
    <sortState xmlns:xlrd2="http://schemas.microsoft.com/office/spreadsheetml/2017/richdata2" ref="A2:R24">
      <sortCondition descending="1" ref="E1:E23"/>
    </sortState>
  </autoFilter>
  <conditionalFormatting sqref="F46:F1048576">
    <cfRule type="cellIs" dxfId="111" priority="37" operator="between">
      <formula>0.4</formula>
      <formula>0.59</formula>
    </cfRule>
    <cfRule type="cellIs" dxfId="110" priority="38" operator="between">
      <formula>0.01</formula>
      <formula>0.39</formula>
    </cfRule>
    <cfRule type="cellIs" dxfId="109" priority="39" operator="between">
      <formula>0.6</formula>
      <formula>0.79</formula>
    </cfRule>
    <cfRule type="cellIs" dxfId="108" priority="40" operator="between">
      <formula>0.8</formula>
      <formula>1</formula>
    </cfRule>
  </conditionalFormatting>
  <conditionalFormatting sqref="G2:G22 D2:D22">
    <cfRule type="cellIs" dxfId="107" priority="36" operator="between">
      <formula>0.005</formula>
      <formula>0.394999999999999</formula>
    </cfRule>
  </conditionalFormatting>
  <conditionalFormatting sqref="G2:G22 D2:D22">
    <cfRule type="cellIs" dxfId="106" priority="33" operator="between">
      <formula>0.745</formula>
      <formula>1</formula>
    </cfRule>
  </conditionalFormatting>
  <conditionalFormatting sqref="G2:G22 D2:D22">
    <cfRule type="cellIs" dxfId="105" priority="34" operator="between">
      <formula>0.595</formula>
      <formula>0.744999999999999</formula>
    </cfRule>
  </conditionalFormatting>
  <conditionalFormatting sqref="G2:G22 D2:D22">
    <cfRule type="cellIs" dxfId="104" priority="35" operator="between">
      <formula>0.395</formula>
      <formula>0.594999999999999</formula>
    </cfRule>
  </conditionalFormatting>
  <conditionalFormatting sqref="F1">
    <cfRule type="cellIs" dxfId="103" priority="29" operator="between">
      <formula>39.5</formula>
      <formula>59.4999999</formula>
    </cfRule>
    <cfRule type="cellIs" dxfId="102" priority="30" operator="between">
      <formula>1</formula>
      <formula>39.499999</formula>
    </cfRule>
    <cfRule type="cellIs" dxfId="101" priority="31" operator="between">
      <formula>59.5</formula>
      <formula>70.4999</formula>
    </cfRule>
    <cfRule type="cellIs" dxfId="100" priority="32" operator="between">
      <formula>70.499</formula>
      <formula>100</formula>
    </cfRule>
  </conditionalFormatting>
  <conditionalFormatting sqref="F2:F22">
    <cfRule type="cellIs" dxfId="99" priority="28" operator="between">
      <formula>0.005</formula>
      <formula>0.394999999999999</formula>
    </cfRule>
  </conditionalFormatting>
  <conditionalFormatting sqref="F2:F22">
    <cfRule type="cellIs" dxfId="98" priority="25" operator="between">
      <formula>0.745</formula>
      <formula>1</formula>
    </cfRule>
  </conditionalFormatting>
  <conditionalFormatting sqref="F2:F22">
    <cfRule type="cellIs" dxfId="97" priority="26" operator="between">
      <formula>0.595</formula>
      <formula>0.744999999999999</formula>
    </cfRule>
  </conditionalFormatting>
  <conditionalFormatting sqref="F2:F22">
    <cfRule type="cellIs" dxfId="96" priority="27" operator="between">
      <formula>0.395</formula>
      <formula>0.594999999999999</formula>
    </cfRule>
  </conditionalFormatting>
  <conditionalFormatting sqref="F2:F22">
    <cfRule type="cellIs" dxfId="95" priority="21" operator="between">
      <formula>39.5</formula>
      <formula>59.499999999</formula>
    </cfRule>
    <cfRule type="cellIs" dxfId="94" priority="22" operator="between">
      <formula>1</formula>
      <formula>39.49999999</formula>
    </cfRule>
    <cfRule type="cellIs" dxfId="93" priority="23" operator="between">
      <formula>59.5</formula>
      <formula>74.4999999</formula>
    </cfRule>
    <cfRule type="cellIs" dxfId="92" priority="24" operator="between">
      <formula>74.5</formula>
      <formula>100</formula>
    </cfRule>
  </conditionalFormatting>
  <conditionalFormatting sqref="E2:E22">
    <cfRule type="cellIs" dxfId="91" priority="20" operator="between">
      <formula>0.005</formula>
      <formula>0.394999999999999</formula>
    </cfRule>
  </conditionalFormatting>
  <conditionalFormatting sqref="E2:E22">
    <cfRule type="cellIs" dxfId="90" priority="17" operator="between">
      <formula>0.745</formula>
      <formula>1</formula>
    </cfRule>
  </conditionalFormatting>
  <conditionalFormatting sqref="E2:E22">
    <cfRule type="cellIs" dxfId="89" priority="18" operator="between">
      <formula>0.595</formula>
      <formula>0.744999999999999</formula>
    </cfRule>
  </conditionalFormatting>
  <conditionalFormatting sqref="E2:E22">
    <cfRule type="cellIs" dxfId="88" priority="19" operator="between">
      <formula>0.395</formula>
      <formula>0.594999999999999</formula>
    </cfRule>
  </conditionalFormatting>
  <conditionalFormatting sqref="G23:G24 D23:D24">
    <cfRule type="cellIs" dxfId="87" priority="16" operator="between">
      <formula>0.005</formula>
      <formula>0.394999999999999</formula>
    </cfRule>
  </conditionalFormatting>
  <conditionalFormatting sqref="G23:G24 D23:D24">
    <cfRule type="cellIs" dxfId="86" priority="13" operator="between">
      <formula>0.745</formula>
      <formula>1</formula>
    </cfRule>
  </conditionalFormatting>
  <conditionalFormatting sqref="G23:G24 D23:D24">
    <cfRule type="cellIs" dxfId="85" priority="14" operator="between">
      <formula>0.595</formula>
      <formula>0.744999999999999</formula>
    </cfRule>
  </conditionalFormatting>
  <conditionalFormatting sqref="G23:G24 D23:D24">
    <cfRule type="cellIs" dxfId="84" priority="15" operator="between">
      <formula>0.395</formula>
      <formula>0.594999999999999</formula>
    </cfRule>
  </conditionalFormatting>
  <conditionalFormatting sqref="F23:F24">
    <cfRule type="cellIs" dxfId="83" priority="12" operator="between">
      <formula>0.005</formula>
      <formula>0.394999999999999</formula>
    </cfRule>
  </conditionalFormatting>
  <conditionalFormatting sqref="F23:F24">
    <cfRule type="cellIs" dxfId="82" priority="9" operator="between">
      <formula>0.745</formula>
      <formula>1</formula>
    </cfRule>
  </conditionalFormatting>
  <conditionalFormatting sqref="F23:F24">
    <cfRule type="cellIs" dxfId="81" priority="10" operator="between">
      <formula>0.595</formula>
      <formula>0.744999999999999</formula>
    </cfRule>
  </conditionalFormatting>
  <conditionalFormatting sqref="F23:F24">
    <cfRule type="cellIs" dxfId="80" priority="11" operator="between">
      <formula>0.395</formula>
      <formula>0.594999999999999</formula>
    </cfRule>
  </conditionalFormatting>
  <conditionalFormatting sqref="F23:F24">
    <cfRule type="cellIs" dxfId="79" priority="5" operator="between">
      <formula>39.5</formula>
      <formula>59.499999999</formula>
    </cfRule>
    <cfRule type="cellIs" dxfId="78" priority="6" operator="between">
      <formula>1</formula>
      <formula>39.49999999</formula>
    </cfRule>
    <cfRule type="cellIs" dxfId="77" priority="7" operator="between">
      <formula>59.5</formula>
      <formula>74.4999999</formula>
    </cfRule>
    <cfRule type="cellIs" dxfId="76" priority="8" operator="between">
      <formula>74.5</formula>
      <formula>100</formula>
    </cfRule>
  </conditionalFormatting>
  <conditionalFormatting sqref="E23:E24">
    <cfRule type="cellIs" dxfId="75" priority="4" operator="between">
      <formula>0.005</formula>
      <formula>0.394999999999999</formula>
    </cfRule>
  </conditionalFormatting>
  <conditionalFormatting sqref="E23:E24">
    <cfRule type="cellIs" dxfId="74" priority="1" operator="between">
      <formula>0.745</formula>
      <formula>1</formula>
    </cfRule>
  </conditionalFormatting>
  <conditionalFormatting sqref="E23:E24">
    <cfRule type="cellIs" dxfId="73" priority="2" operator="between">
      <formula>0.595</formula>
      <formula>0.744999999999999</formula>
    </cfRule>
  </conditionalFormatting>
  <conditionalFormatting sqref="E23:E24">
    <cfRule type="cellIs" dxfId="72" priority="3" operator="between">
      <formula>0.395</formula>
      <formula>0.594999999999999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30A32-B059-4037-A297-3777F57B60B9}">
  <sheetPr codeName="Sheet12"/>
  <dimension ref="A1:F10"/>
  <sheetViews>
    <sheetView workbookViewId="0">
      <selection activeCell="F1" sqref="F1:F10"/>
    </sheetView>
  </sheetViews>
  <sheetFormatPr defaultRowHeight="15"/>
  <cols>
    <col min="1" max="1" width="3.28515625" bestFit="1" customWidth="1"/>
    <col min="2" max="2" width="29.28515625" bestFit="1" customWidth="1"/>
    <col min="3" max="3" width="14.42578125" bestFit="1" customWidth="1"/>
    <col min="4" max="4" width="13.140625" bestFit="1" customWidth="1"/>
    <col min="5" max="5" width="14.28515625" bestFit="1" customWidth="1"/>
  </cols>
  <sheetData>
    <row r="1" spans="1:6">
      <c r="A1" s="101">
        <v>1</v>
      </c>
      <c r="B1" s="52" t="s">
        <v>224</v>
      </c>
      <c r="C1" s="17">
        <v>858373000</v>
      </c>
      <c r="D1" s="18">
        <v>84207495</v>
      </c>
      <c r="E1" s="18">
        <f t="shared" ref="E1:E10" si="0">C1-D1</f>
        <v>774165505</v>
      </c>
      <c r="F1" s="102">
        <f>D1/C1</f>
        <v>9.8101285804656019E-2</v>
      </c>
    </row>
    <row r="2" spans="1:6">
      <c r="A2" s="101">
        <v>3</v>
      </c>
      <c r="B2" s="52" t="s">
        <v>249</v>
      </c>
      <c r="C2" s="17">
        <v>508845478</v>
      </c>
      <c r="D2" s="18">
        <v>50217575</v>
      </c>
      <c r="E2" s="18">
        <f t="shared" si="0"/>
        <v>458627903</v>
      </c>
      <c r="F2" s="102">
        <f t="shared" ref="F2:F10" si="1">D2/C2</f>
        <v>9.8689242945379979E-2</v>
      </c>
    </row>
    <row r="3" spans="1:6">
      <c r="A3" s="101">
        <v>2</v>
      </c>
      <c r="B3" s="52" t="s">
        <v>39</v>
      </c>
      <c r="C3" s="17">
        <v>543638043</v>
      </c>
      <c r="D3" s="18">
        <v>49836221</v>
      </c>
      <c r="E3" s="18">
        <f t="shared" si="0"/>
        <v>493801822</v>
      </c>
      <c r="F3" s="102">
        <f t="shared" si="1"/>
        <v>9.1671695242269868E-2</v>
      </c>
    </row>
    <row r="4" spans="1:6">
      <c r="A4" s="101">
        <v>4</v>
      </c>
      <c r="B4" s="52" t="s">
        <v>282</v>
      </c>
      <c r="C4" s="17">
        <v>474255674</v>
      </c>
      <c r="D4" s="18">
        <v>42859664</v>
      </c>
      <c r="E4" s="18">
        <f t="shared" si="0"/>
        <v>431396010</v>
      </c>
      <c r="F4" s="102">
        <f t="shared" si="1"/>
        <v>9.0372485453911508E-2</v>
      </c>
    </row>
    <row r="5" spans="1:6">
      <c r="A5" s="101">
        <v>6</v>
      </c>
      <c r="B5" s="52" t="s">
        <v>34</v>
      </c>
      <c r="C5" s="17">
        <v>426829839</v>
      </c>
      <c r="D5" s="18">
        <v>42352129</v>
      </c>
      <c r="E5" s="18">
        <f t="shared" si="0"/>
        <v>384477710</v>
      </c>
      <c r="F5" s="102">
        <f t="shared" si="1"/>
        <v>9.9224855270720655E-2</v>
      </c>
    </row>
    <row r="6" spans="1:6">
      <c r="A6" s="101">
        <v>9</v>
      </c>
      <c r="B6" s="52" t="s">
        <v>242</v>
      </c>
      <c r="C6" s="17">
        <v>335084607</v>
      </c>
      <c r="D6" s="18">
        <v>39111776</v>
      </c>
      <c r="E6" s="18">
        <f t="shared" si="0"/>
        <v>295972831</v>
      </c>
      <c r="F6" s="102">
        <f t="shared" si="1"/>
        <v>0.11672209102699845</v>
      </c>
    </row>
    <row r="7" spans="1:6">
      <c r="A7" s="101">
        <v>7</v>
      </c>
      <c r="B7" s="52" t="s">
        <v>305</v>
      </c>
      <c r="C7" s="17">
        <v>390532085</v>
      </c>
      <c r="D7" s="18">
        <v>35292900</v>
      </c>
      <c r="E7" s="18">
        <f t="shared" si="0"/>
        <v>355239185</v>
      </c>
      <c r="F7" s="102">
        <f t="shared" si="1"/>
        <v>9.037131993905187E-2</v>
      </c>
    </row>
    <row r="8" spans="1:6">
      <c r="A8" s="101">
        <v>10</v>
      </c>
      <c r="B8" s="52" t="s">
        <v>454</v>
      </c>
      <c r="C8" s="17">
        <v>298460411</v>
      </c>
      <c r="D8" s="18">
        <v>30049072</v>
      </c>
      <c r="E8" s="18">
        <f t="shared" si="0"/>
        <v>268411339</v>
      </c>
      <c r="F8" s="102">
        <f t="shared" si="1"/>
        <v>0.10068026073984064</v>
      </c>
    </row>
    <row r="9" spans="1:6">
      <c r="A9" s="101">
        <v>8</v>
      </c>
      <c r="B9" s="52" t="s">
        <v>38</v>
      </c>
      <c r="C9" s="17">
        <v>355559216</v>
      </c>
      <c r="D9" s="18">
        <v>29605507</v>
      </c>
      <c r="E9" s="18">
        <f t="shared" si="0"/>
        <v>325953709</v>
      </c>
      <c r="F9" s="102">
        <f t="shared" si="1"/>
        <v>8.3264631228121513E-2</v>
      </c>
    </row>
    <row r="10" spans="1:6">
      <c r="A10" s="101">
        <v>5</v>
      </c>
      <c r="B10" s="52" t="s">
        <v>33</v>
      </c>
      <c r="C10" s="17">
        <v>434038008</v>
      </c>
      <c r="D10" s="18">
        <v>27233291</v>
      </c>
      <c r="E10" s="18">
        <f t="shared" si="0"/>
        <v>406804717</v>
      </c>
      <c r="F10" s="102">
        <f t="shared" si="1"/>
        <v>6.2744023560259266E-2</v>
      </c>
    </row>
  </sheetData>
  <sortState xmlns:xlrd2="http://schemas.microsoft.com/office/spreadsheetml/2017/richdata2" ref="A1:E10">
    <sortCondition descending="1" ref="D10"/>
  </sortState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4DF68-2AFC-4A74-8577-126642900874}">
  <sheetPr codeName="Sheet13"/>
  <dimension ref="A1:E23"/>
  <sheetViews>
    <sheetView workbookViewId="0">
      <selection sqref="A1:E23"/>
    </sheetView>
  </sheetViews>
  <sheetFormatPr defaultRowHeight="15"/>
  <sheetData>
    <row r="1" spans="1:5">
      <c r="A1" s="105" t="s">
        <v>441</v>
      </c>
      <c r="B1" s="105"/>
      <c r="C1" s="105"/>
      <c r="D1" s="105"/>
      <c r="E1" s="105"/>
    </row>
    <row r="2" spans="1:5">
      <c r="A2" s="15" t="s">
        <v>72</v>
      </c>
      <c r="B2" s="23">
        <f>VLOOKUP(A2,Pixar!$B$2:$N$23,3,0)</f>
        <v>90</v>
      </c>
      <c r="C2" s="76">
        <f>VLOOKUP(A2,Pixar!$B$2:$N$23,5,FALSE)</f>
        <v>90.2</v>
      </c>
      <c r="D2" s="76">
        <f>VLOOKUP(A2,Pixar!$B$2:$N$23,6,FALSE)</f>
        <v>95</v>
      </c>
      <c r="E2" s="23">
        <f t="shared" ref="E2:E23" si="0">AVERAGE(C2:D2)</f>
        <v>92.6</v>
      </c>
    </row>
    <row r="3" spans="1:5">
      <c r="A3" s="15" t="s">
        <v>73</v>
      </c>
      <c r="B3" s="23">
        <f>VLOOKUP(A3,Pixar!$B$2:$N$23,3,0)</f>
        <v>78</v>
      </c>
      <c r="C3" s="76">
        <f>VLOOKUP(A3,Pixar!$B$2:$N$23,5,FALSE)</f>
        <v>78.7</v>
      </c>
      <c r="D3" s="76">
        <f>VLOOKUP(A3,Pixar!$B$2:$N$23,6,FALSE)</f>
        <v>77</v>
      </c>
      <c r="E3" s="23">
        <f t="shared" si="0"/>
        <v>77.849999999999994</v>
      </c>
    </row>
    <row r="4" spans="1:5">
      <c r="A4" s="15" t="s">
        <v>74</v>
      </c>
      <c r="B4" s="23">
        <f>VLOOKUP(A4,Pixar!$B$2:$N$23,3,0)</f>
        <v>83</v>
      </c>
      <c r="C4" s="76">
        <f>VLOOKUP(A4,Pixar!$B$2:$N$23,5,FALSE)</f>
        <v>86.7</v>
      </c>
      <c r="D4" s="76">
        <f>VLOOKUP(A4,Pixar!$B$2:$N$23,6,FALSE)</f>
        <v>88</v>
      </c>
      <c r="E4" s="23">
        <f t="shared" si="0"/>
        <v>87.35</v>
      </c>
    </row>
    <row r="5" spans="1:5">
      <c r="A5" s="15" t="s">
        <v>94</v>
      </c>
      <c r="B5" s="23">
        <f>VLOOKUP(A5,Pixar!$B$2:$N$23,3,0)</f>
        <v>90</v>
      </c>
      <c r="C5" s="76">
        <f>VLOOKUP(A5,Pixar!$B$2:$N$23,5,FALSE)</f>
        <v>80.3</v>
      </c>
      <c r="D5" s="76">
        <f>VLOOKUP(A5,Pixar!$B$2:$N$23,6,FALSE)</f>
        <v>79</v>
      </c>
      <c r="E5" s="23">
        <f t="shared" si="0"/>
        <v>79.650000000000006</v>
      </c>
    </row>
    <row r="6" spans="1:5">
      <c r="A6" s="15" t="s">
        <v>75</v>
      </c>
      <c r="B6" s="23">
        <f>VLOOKUP(A6,Pixar!$B$2:$N$23,3,0)</f>
        <v>85</v>
      </c>
      <c r="C6" s="76">
        <f>VLOOKUP(A6,Pixar!$B$2:$N$23,5,FALSE)</f>
        <v>86.9</v>
      </c>
      <c r="D6" s="76">
        <f>VLOOKUP(A6,Pixar!$B$2:$N$23,6,FALSE)</f>
        <v>90</v>
      </c>
      <c r="E6" s="23">
        <f t="shared" si="0"/>
        <v>88.45</v>
      </c>
    </row>
    <row r="7" spans="1:5">
      <c r="A7" s="15" t="s">
        <v>76</v>
      </c>
      <c r="B7" s="23">
        <f>VLOOKUP(A7,Pixar!$B$2:$N$23,3,0)</f>
        <v>92</v>
      </c>
      <c r="C7" s="76">
        <f>VLOOKUP(A7,Pixar!$B$2:$N$23,5,FALSE)</f>
        <v>83.6</v>
      </c>
      <c r="D7" s="76">
        <f>VLOOKUP(A7,Pixar!$B$2:$N$23,6,FALSE)</f>
        <v>90</v>
      </c>
      <c r="E7" s="23">
        <f t="shared" si="0"/>
        <v>86.8</v>
      </c>
    </row>
    <row r="8" spans="1:5">
      <c r="A8" s="15" t="s">
        <v>77</v>
      </c>
      <c r="B8" s="23">
        <f>VLOOKUP(A8,Pixar!$B$2:$N$23,3,0)</f>
        <v>73</v>
      </c>
      <c r="C8" s="76">
        <f>VLOOKUP(A8,Pixar!$B$2:$N$23,5,FALSE)</f>
        <v>69.099999999999994</v>
      </c>
      <c r="D8" s="76">
        <f>VLOOKUP(A8,Pixar!$B$2:$N$23,6,FALSE)</f>
        <v>73</v>
      </c>
      <c r="E8" s="23">
        <f t="shared" si="0"/>
        <v>71.05</v>
      </c>
    </row>
    <row r="9" spans="1:5">
      <c r="A9" s="15" t="s">
        <v>78</v>
      </c>
      <c r="B9" s="23">
        <f>VLOOKUP(A9,Pixar!$B$2:$N$23,3,0)</f>
        <v>95</v>
      </c>
      <c r="C9" s="76">
        <f>VLOOKUP(A9,Pixar!$B$2:$N$23,5,FALSE)</f>
        <v>84.7</v>
      </c>
      <c r="D9" s="76">
        <f>VLOOKUP(A9,Pixar!$B$2:$N$23,6,FALSE)</f>
        <v>96</v>
      </c>
      <c r="E9" s="23">
        <f t="shared" si="0"/>
        <v>90.35</v>
      </c>
    </row>
    <row r="10" spans="1:5">
      <c r="A10" s="15" t="s">
        <v>79</v>
      </c>
      <c r="B10" s="23">
        <f>VLOOKUP(A10,Pixar!$B$2:$N$23,3,0)</f>
        <v>96</v>
      </c>
      <c r="C10" s="76">
        <f>VLOOKUP(A10,Pixar!$B$2:$N$23,5,FALSE)</f>
        <v>85.5</v>
      </c>
      <c r="D10" s="76">
        <f>VLOOKUP(A10,Pixar!$B$2:$N$23,6,FALSE)</f>
        <v>95</v>
      </c>
      <c r="E10" s="23">
        <f t="shared" si="0"/>
        <v>90.25</v>
      </c>
    </row>
    <row r="11" spans="1:5">
      <c r="A11" s="15" t="s">
        <v>80</v>
      </c>
      <c r="B11" s="23">
        <f>VLOOKUP(A11,Pixar!$B$2:$N$23,3,0)</f>
        <v>90</v>
      </c>
      <c r="C11" s="76">
        <f>VLOOKUP(A11,Pixar!$B$2:$N$23,5,FALSE)</f>
        <v>87.2</v>
      </c>
      <c r="D11" s="76">
        <f>VLOOKUP(A11,Pixar!$B$2:$N$23,6,FALSE)</f>
        <v>88</v>
      </c>
      <c r="E11" s="23">
        <f t="shared" si="0"/>
        <v>87.6</v>
      </c>
    </row>
    <row r="12" spans="1:5">
      <c r="A12" s="15" t="s">
        <v>81</v>
      </c>
      <c r="B12" s="23">
        <f>VLOOKUP(A12,Pixar!$B$2:$N$23,3,0)</f>
        <v>93</v>
      </c>
      <c r="C12" s="76">
        <f>VLOOKUP(A12,Pixar!$B$2:$N$23,5,FALSE)</f>
        <v>88.7</v>
      </c>
      <c r="D12" s="76">
        <f>VLOOKUP(A12,Pixar!$B$2:$N$23,6,FALSE)</f>
        <v>92</v>
      </c>
      <c r="E12" s="23">
        <f t="shared" si="0"/>
        <v>90.35</v>
      </c>
    </row>
    <row r="13" spans="1:5">
      <c r="A13" s="15" t="s">
        <v>82</v>
      </c>
      <c r="B13" s="23">
        <f>VLOOKUP(A13,Pixar!$B$2:$N$23,3,0)</f>
        <v>24</v>
      </c>
      <c r="C13" s="76">
        <f>VLOOKUP(A13,Pixar!$B$2:$N$23,5,FALSE)</f>
        <v>54.8</v>
      </c>
      <c r="D13" s="76">
        <f>VLOOKUP(A13,Pixar!$B$2:$N$23,6,FALSE)</f>
        <v>57</v>
      </c>
      <c r="E13" s="23">
        <f t="shared" si="0"/>
        <v>55.9</v>
      </c>
    </row>
    <row r="14" spans="1:5">
      <c r="A14" s="15" t="s">
        <v>83</v>
      </c>
      <c r="B14" s="23">
        <f>VLOOKUP(A14,Pixar!$B$2:$N$23,3,0)</f>
        <v>60</v>
      </c>
      <c r="C14" s="76">
        <f>VLOOKUP(A14,Pixar!$B$2:$N$23,5,FALSE)</f>
        <v>69.5</v>
      </c>
      <c r="D14" s="76">
        <f>VLOOKUP(A14,Pixar!$B$2:$N$23,6,FALSE)</f>
        <v>69</v>
      </c>
      <c r="E14" s="23">
        <f t="shared" si="0"/>
        <v>69.25</v>
      </c>
    </row>
    <row r="15" spans="1:5">
      <c r="A15" s="15" t="s">
        <v>128</v>
      </c>
      <c r="B15" s="23">
        <f>VLOOKUP(A15,Pixar!$B$2:$N$23,3,0)</f>
        <v>60</v>
      </c>
      <c r="C15" s="76">
        <f>VLOOKUP(A15,Pixar!$B$2:$N$23,5,FALSE)</f>
        <v>68.099999999999994</v>
      </c>
      <c r="D15" s="76">
        <f>VLOOKUP(A15,Pixar!$B$2:$N$23,6,FALSE)</f>
        <v>65</v>
      </c>
      <c r="E15" s="23">
        <f t="shared" si="0"/>
        <v>66.55</v>
      </c>
    </row>
    <row r="16" spans="1:5">
      <c r="A16" s="15" t="s">
        <v>5</v>
      </c>
      <c r="B16" s="23">
        <f>VLOOKUP(A16,Pixar!$B$2:$N$23,3,0)</f>
        <v>98</v>
      </c>
      <c r="C16" s="76">
        <f>VLOOKUP(A16,Pixar!$B$2:$N$23,5,FALSE)</f>
        <v>89.3</v>
      </c>
      <c r="D16" s="76">
        <f>VLOOKUP(A16,Pixar!$B$2:$N$23,6,FALSE)</f>
        <v>94</v>
      </c>
      <c r="E16" s="23">
        <f t="shared" si="0"/>
        <v>91.65</v>
      </c>
    </row>
    <row r="17" spans="1:5">
      <c r="A17" s="15" t="s">
        <v>6</v>
      </c>
      <c r="B17" s="23">
        <f>VLOOKUP(A17,Pixar!$B$2:$N$23,3,0)</f>
        <v>52</v>
      </c>
      <c r="C17" s="76">
        <f>VLOOKUP(A17,Pixar!$B$2:$N$23,5,FALSE)</f>
        <v>65.900000000000006</v>
      </c>
      <c r="D17" s="76">
        <f>VLOOKUP(A17,Pixar!$B$2:$N$23,6,FALSE)</f>
        <v>66</v>
      </c>
      <c r="E17" s="23">
        <f t="shared" si="0"/>
        <v>65.95</v>
      </c>
    </row>
    <row r="18" spans="1:5">
      <c r="A18" s="15" t="s">
        <v>7</v>
      </c>
      <c r="B18" s="23">
        <f>VLOOKUP(A18,Pixar!$B$2:$N$23,3,0)</f>
        <v>71</v>
      </c>
      <c r="C18" s="76">
        <f>VLOOKUP(A18,Pixar!$B$2:$N$23,5,FALSE)</f>
        <v>76.5</v>
      </c>
      <c r="D18" s="76">
        <f>VLOOKUP(A18,Pixar!$B$2:$N$23,6,FALSE)</f>
        <v>77</v>
      </c>
      <c r="E18" s="23">
        <f t="shared" si="0"/>
        <v>76.75</v>
      </c>
    </row>
    <row r="19" spans="1:5">
      <c r="A19" s="15" t="s">
        <v>25</v>
      </c>
      <c r="B19" s="23">
        <f>VLOOKUP(A19,Pixar!$B$2:$N$23,3,0)</f>
        <v>60</v>
      </c>
      <c r="C19" s="76">
        <f>VLOOKUP(A19,Pixar!$B$2:$N$23,5,FALSE)</f>
        <v>61.2</v>
      </c>
      <c r="D19" s="76">
        <f>VLOOKUP(A19,Pixar!$B$2:$N$23,6,FALSE)</f>
        <v>59</v>
      </c>
      <c r="E19" s="23">
        <f t="shared" si="0"/>
        <v>60.1</v>
      </c>
    </row>
    <row r="20" spans="1:5">
      <c r="A20" s="15" t="s">
        <v>27</v>
      </c>
      <c r="B20" s="23">
        <f>VLOOKUP(A20,Pixar!$B$2:$N$23,3,0)</f>
        <v>95</v>
      </c>
      <c r="C20" s="76">
        <f>VLOOKUP(A20,Pixar!$B$2:$N$23,5,FALSE)</f>
        <v>83</v>
      </c>
      <c r="D20" s="76">
        <f>VLOOKUP(A20,Pixar!$B$2:$N$23,6,FALSE)</f>
        <v>81</v>
      </c>
      <c r="E20" s="23">
        <f t="shared" si="0"/>
        <v>82</v>
      </c>
    </row>
    <row r="21" spans="1:5">
      <c r="A21" s="15" t="s">
        <v>90</v>
      </c>
      <c r="B21" s="23">
        <f>VLOOKUP(A21,Pixar!$B$2:$N$23,3,0)</f>
        <v>71</v>
      </c>
      <c r="C21" s="76">
        <f>VLOOKUP(A21,Pixar!$B$2:$N$23,5,FALSE)</f>
        <v>78.400000000000006</v>
      </c>
      <c r="D21" s="76">
        <f>VLOOKUP(A21,Pixar!$B$2:$N$23,6,FALSE)</f>
        <v>80</v>
      </c>
      <c r="E21" s="23">
        <f t="shared" si="0"/>
        <v>79.2</v>
      </c>
    </row>
    <row r="22" spans="1:5">
      <c r="A22" s="15" t="s">
        <v>33</v>
      </c>
      <c r="B22" s="23">
        <f>VLOOKUP(A22,Pixar!$B$2:$N$23,3,0)</f>
        <v>90</v>
      </c>
      <c r="C22" s="76">
        <f>VLOOKUP(A22,Pixar!$B$2:$N$23,5,FALSE)</f>
        <v>83.4</v>
      </c>
      <c r="D22" s="76">
        <f>VLOOKUP(A22,Pixar!$B$2:$N$23,6,FALSE)</f>
        <v>84</v>
      </c>
      <c r="E22" s="23">
        <f t="shared" si="0"/>
        <v>83.7</v>
      </c>
    </row>
    <row r="23" spans="1:5">
      <c r="A23" s="15" t="s">
        <v>204</v>
      </c>
      <c r="B23" s="23">
        <f>VLOOKUP(A23,Pixar!$B$2:$N$23,3,0)</f>
        <v>85</v>
      </c>
      <c r="C23" s="76">
        <f>VLOOKUP(A23,Pixar!$B$2:$N$23,5,FALSE)</f>
        <v>71.7</v>
      </c>
      <c r="D23" s="76">
        <v>62</v>
      </c>
      <c r="E23" s="23">
        <f t="shared" si="0"/>
        <v>66.849999999999994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17DB0-A107-42A4-8EB2-C77EA114807F}">
  <sheetPr codeName="Sheet8"/>
  <dimension ref="A1:P61"/>
  <sheetViews>
    <sheetView topLeftCell="A22" zoomScale="93" zoomScaleNormal="89" workbookViewId="0">
      <selection activeCell="E59" sqref="E59"/>
    </sheetView>
  </sheetViews>
  <sheetFormatPr defaultColWidth="9.140625" defaultRowHeight="15" customHeight="1"/>
  <cols>
    <col min="1" max="1" width="5.5703125" style="73" bestFit="1" customWidth="1"/>
    <col min="2" max="2" width="39.140625" style="59" bestFit="1" customWidth="1"/>
    <col min="3" max="3" width="20.140625" style="52" bestFit="1" customWidth="1"/>
    <col min="4" max="4" width="6.85546875" style="74" bestFit="1" customWidth="1"/>
    <col min="5" max="5" width="7.42578125" style="60" bestFit="1" customWidth="1"/>
    <col min="6" max="6" width="6.7109375" style="61" bestFit="1" customWidth="1"/>
    <col min="7" max="7" width="7.7109375" style="52" bestFit="1" customWidth="1"/>
    <col min="8" max="8" width="8.85546875" style="52" bestFit="1" customWidth="1"/>
    <col min="9" max="9" width="24.5703125" style="88" bestFit="1" customWidth="1"/>
    <col min="10" max="10" width="17.140625" style="96" bestFit="1" customWidth="1"/>
    <col min="11" max="11" width="5.5703125" style="75" bestFit="1" customWidth="1"/>
    <col min="12" max="12" width="10.5703125" style="52" bestFit="1" customWidth="1"/>
    <col min="13" max="13" width="16" style="62" bestFit="1" customWidth="1"/>
    <col min="14" max="14" width="9.42578125" style="52" bestFit="1" customWidth="1"/>
    <col min="15" max="15" width="6.7109375" style="91" bestFit="1" customWidth="1"/>
    <col min="16" max="16" width="14.140625" style="62" bestFit="1" customWidth="1"/>
    <col min="17" max="16384" width="9.140625" style="52"/>
  </cols>
  <sheetData>
    <row r="1" spans="1:16" ht="15" customHeight="1">
      <c r="A1" s="140" t="s">
        <v>423</v>
      </c>
      <c r="B1" s="140"/>
      <c r="C1" s="140"/>
      <c r="D1" s="140"/>
      <c r="E1" s="140"/>
      <c r="F1" s="140"/>
      <c r="G1" s="140"/>
      <c r="H1" s="140"/>
      <c r="I1" s="95"/>
      <c r="J1" s="69"/>
      <c r="K1" s="89"/>
      <c r="L1" s="89"/>
      <c r="M1" s="89"/>
      <c r="N1" s="89"/>
    </row>
    <row r="2" spans="1:16" ht="15" customHeight="1">
      <c r="A2" s="7" t="s">
        <v>15</v>
      </c>
      <c r="B2" s="2" t="s">
        <v>19</v>
      </c>
      <c r="C2" s="3" t="s">
        <v>2</v>
      </c>
      <c r="D2" s="70" t="s">
        <v>91</v>
      </c>
      <c r="E2" s="4" t="s">
        <v>92</v>
      </c>
      <c r="F2" s="5" t="s">
        <v>93</v>
      </c>
      <c r="G2" s="71" t="s">
        <v>154</v>
      </c>
      <c r="H2" s="57" t="s">
        <v>401</v>
      </c>
    </row>
    <row r="3" spans="1:16" ht="15" customHeight="1">
      <c r="A3" s="23"/>
      <c r="B3" s="15" t="s">
        <v>416</v>
      </c>
      <c r="C3" s="13">
        <v>13870</v>
      </c>
      <c r="D3" s="72"/>
      <c r="E3" s="14">
        <v>0.98</v>
      </c>
      <c r="F3" s="24">
        <v>88</v>
      </c>
      <c r="G3" s="51">
        <v>95</v>
      </c>
      <c r="H3" s="58">
        <v>84</v>
      </c>
      <c r="O3" s="92"/>
    </row>
    <row r="4" spans="1:16" ht="15" customHeight="1">
      <c r="A4" s="23"/>
      <c r="B4" s="15" t="s">
        <v>418</v>
      </c>
      <c r="C4" s="13">
        <v>14648</v>
      </c>
      <c r="D4" s="72"/>
      <c r="E4" s="14">
        <v>1</v>
      </c>
      <c r="F4" s="24">
        <v>91</v>
      </c>
      <c r="G4" s="51">
        <v>99</v>
      </c>
      <c r="H4" s="58">
        <v>88</v>
      </c>
      <c r="O4" s="92"/>
      <c r="P4" s="90">
        <v>85977773</v>
      </c>
    </row>
    <row r="5" spans="1:16" ht="15" customHeight="1">
      <c r="A5" s="23"/>
      <c r="B5" s="15" t="s">
        <v>414</v>
      </c>
      <c r="C5" s="13">
        <v>14928</v>
      </c>
      <c r="D5" s="72"/>
      <c r="E5" s="14">
        <v>0.94</v>
      </c>
      <c r="F5" s="24">
        <v>86</v>
      </c>
      <c r="G5" s="51">
        <v>96</v>
      </c>
      <c r="H5" s="15">
        <v>124</v>
      </c>
      <c r="I5" s="88" t="s">
        <v>146</v>
      </c>
      <c r="J5" s="17">
        <v>68706298</v>
      </c>
      <c r="K5" s="23">
        <v>2</v>
      </c>
      <c r="L5" s="20">
        <f t="shared" ref="L5:L11" si="0">J5/M5</f>
        <v>0.34212546382383247</v>
      </c>
      <c r="M5" s="17">
        <v>200821936</v>
      </c>
      <c r="N5" s="21">
        <f t="shared" ref="N5:N11" si="1">M5/J5</f>
        <v>2.9229043311284215</v>
      </c>
      <c r="O5" s="93">
        <f>1-21608891/48767052</f>
        <v>0.55689568850706828</v>
      </c>
      <c r="P5" s="94">
        <f>$P$4-O5*$P$4</f>
        <v>38097121.908860572</v>
      </c>
    </row>
    <row r="6" spans="1:16" ht="15" customHeight="1">
      <c r="A6" s="23"/>
      <c r="B6" s="15" t="s">
        <v>42</v>
      </c>
      <c r="C6" s="13">
        <v>15272</v>
      </c>
      <c r="D6" s="72"/>
      <c r="E6" s="14">
        <v>0.98</v>
      </c>
      <c r="F6" s="24">
        <v>84</v>
      </c>
      <c r="G6" s="51">
        <v>96</v>
      </c>
      <c r="H6" s="15">
        <v>63</v>
      </c>
      <c r="I6" s="88" t="s">
        <v>439</v>
      </c>
      <c r="J6" s="17">
        <v>41516691</v>
      </c>
      <c r="K6" s="23">
        <v>6</v>
      </c>
      <c r="L6" s="20">
        <f t="shared" si="0"/>
        <v>0.46842052988609423</v>
      </c>
      <c r="M6" s="17">
        <v>88631237</v>
      </c>
      <c r="N6" s="21">
        <f t="shared" si="1"/>
        <v>2.1348338430921676</v>
      </c>
      <c r="O6" s="93">
        <f>1-11082755/29239026</f>
        <v>0.6209601851990556</v>
      </c>
      <c r="P6" s="94">
        <f t="shared" ref="P6:P11" si="2">$P$4-O6*$P$4</f>
        <v>32588999.154917635</v>
      </c>
    </row>
    <row r="7" spans="1:16" ht="15" customHeight="1">
      <c r="A7" s="23"/>
      <c r="B7" s="15" t="s">
        <v>411</v>
      </c>
      <c r="C7" s="13">
        <v>15566</v>
      </c>
      <c r="D7" s="72"/>
      <c r="E7" s="14">
        <v>0.9</v>
      </c>
      <c r="F7" s="24">
        <v>83</v>
      </c>
      <c r="G7" s="51">
        <v>91</v>
      </c>
      <c r="H7" s="15">
        <v>69</v>
      </c>
      <c r="I7" s="88" t="s">
        <v>148</v>
      </c>
      <c r="J7" s="17">
        <v>93590387</v>
      </c>
      <c r="K7" s="23">
        <v>2</v>
      </c>
      <c r="L7" s="20">
        <f t="shared" si="0"/>
        <v>0.23354507158815574</v>
      </c>
      <c r="M7" s="17">
        <v>400738009</v>
      </c>
      <c r="N7" s="21">
        <f t="shared" si="1"/>
        <v>4.2818287416633929</v>
      </c>
      <c r="O7" s="93">
        <f>1-31616230/67391326</f>
        <v>0.53085609266688127</v>
      </c>
      <c r="P7" s="94">
        <f t="shared" si="2"/>
        <v>40335948.369019918</v>
      </c>
    </row>
    <row r="8" spans="1:16" ht="15" customHeight="1">
      <c r="A8" s="23"/>
      <c r="B8" s="15" t="s">
        <v>419</v>
      </c>
      <c r="C8" s="13">
        <v>15743</v>
      </c>
      <c r="D8" s="72"/>
      <c r="E8" s="14">
        <v>0.83</v>
      </c>
      <c r="F8" s="24">
        <v>64</v>
      </c>
      <c r="G8" s="51">
        <v>60</v>
      </c>
      <c r="H8" s="15">
        <v>41</v>
      </c>
      <c r="I8" s="88" t="s">
        <v>6</v>
      </c>
      <c r="J8" s="17">
        <v>55455687</v>
      </c>
      <c r="K8" s="23">
        <v>1</v>
      </c>
      <c r="L8" s="20">
        <f t="shared" si="0"/>
        <v>0.45054012962526052</v>
      </c>
      <c r="M8" s="17">
        <v>123087120</v>
      </c>
      <c r="N8" s="21">
        <f t="shared" si="1"/>
        <v>2.2195581131291369</v>
      </c>
      <c r="O8" s="93">
        <f>1-15323958/39155217</f>
        <v>0.60863560020622542</v>
      </c>
      <c r="P8" s="94">
        <f t="shared" si="2"/>
        <v>33648639.525750399</v>
      </c>
    </row>
    <row r="9" spans="1:16" ht="15" customHeight="1">
      <c r="A9" s="23"/>
      <c r="B9" s="15" t="s">
        <v>420</v>
      </c>
      <c r="C9" s="13">
        <v>16471</v>
      </c>
      <c r="D9" s="72"/>
      <c r="E9" s="14">
        <v>0.82</v>
      </c>
      <c r="F9" s="24">
        <v>65</v>
      </c>
      <c r="G9" s="51">
        <v>85</v>
      </c>
      <c r="H9" s="15">
        <v>71</v>
      </c>
      <c r="I9" s="88" t="s">
        <v>4</v>
      </c>
      <c r="J9" s="17">
        <v>82080274</v>
      </c>
      <c r="K9" s="23">
        <v>1</v>
      </c>
      <c r="L9" s="20">
        <f t="shared" si="0"/>
        <v>0.32996160703694483</v>
      </c>
      <c r="M9" s="17">
        <v>248757044</v>
      </c>
      <c r="N9" s="21">
        <f t="shared" si="1"/>
        <v>3.0306556237860511</v>
      </c>
      <c r="O9" s="93">
        <f>1-28270989/56631401</f>
        <v>0.50078951781539005</v>
      </c>
      <c r="P9" s="94">
        <f t="shared" si="2"/>
        <v>42921005.51648894</v>
      </c>
    </row>
    <row r="10" spans="1:16" ht="15" customHeight="1">
      <c r="A10" s="23"/>
      <c r="B10" s="15" t="s">
        <v>421</v>
      </c>
      <c r="C10" s="13">
        <v>16912</v>
      </c>
      <c r="D10" s="72"/>
      <c r="E10" s="14">
        <v>0.7</v>
      </c>
      <c r="F10" s="24">
        <v>65</v>
      </c>
      <c r="G10" s="51">
        <v>60</v>
      </c>
      <c r="H10" s="15">
        <v>75</v>
      </c>
      <c r="I10" s="88" t="s">
        <v>27</v>
      </c>
      <c r="J10" s="17">
        <v>72908930</v>
      </c>
      <c r="K10" s="23">
        <v>1</v>
      </c>
      <c r="L10" s="20">
        <f t="shared" si="0"/>
        <v>0.34763894216938229</v>
      </c>
      <c r="M10" s="17">
        <v>209726015</v>
      </c>
      <c r="N10" s="21">
        <f t="shared" si="1"/>
        <v>2.8765477013583931</v>
      </c>
      <c r="O10" s="93">
        <f>1-27533304/50802605</f>
        <v>0.45803361855164715</v>
      </c>
      <c r="P10" s="94">
        <f t="shared" si="2"/>
        <v>46597062.517797895</v>
      </c>
    </row>
    <row r="11" spans="1:16" ht="15" customHeight="1">
      <c r="A11" s="23"/>
      <c r="B11" s="15" t="s">
        <v>394</v>
      </c>
      <c r="C11" s="13">
        <v>17437</v>
      </c>
      <c r="D11" s="72"/>
      <c r="E11" s="14">
        <v>0.67</v>
      </c>
      <c r="F11" s="24">
        <v>54</v>
      </c>
      <c r="G11" s="51">
        <v>66</v>
      </c>
      <c r="H11" s="15">
        <v>73</v>
      </c>
      <c r="I11" s="88" t="s">
        <v>198</v>
      </c>
      <c r="J11" s="17">
        <v>84750405</v>
      </c>
      <c r="K11" s="23">
        <v>1</v>
      </c>
      <c r="L11" s="20">
        <f t="shared" si="0"/>
        <v>0.42145150875960274</v>
      </c>
      <c r="M11" s="17">
        <v>201091711</v>
      </c>
      <c r="N11" s="21">
        <f t="shared" si="1"/>
        <v>2.3727522128065348</v>
      </c>
      <c r="O11" s="93">
        <f>1-25566945/56237634</f>
        <v>0.54537658892264207</v>
      </c>
      <c r="P11" s="94">
        <f t="shared" si="2"/>
        <v>39087508.438094765</v>
      </c>
    </row>
    <row r="12" spans="1:16" ht="15" customHeight="1">
      <c r="A12" s="23"/>
      <c r="B12" s="15" t="s">
        <v>409</v>
      </c>
      <c r="C12" s="13">
        <v>17680</v>
      </c>
      <c r="D12" s="72"/>
      <c r="E12" s="14">
        <v>0.89</v>
      </c>
      <c r="F12" s="24">
        <v>74</v>
      </c>
      <c r="G12" s="51">
        <v>69</v>
      </c>
      <c r="H12" s="15">
        <v>75</v>
      </c>
      <c r="J12" s="96" t="s">
        <v>449</v>
      </c>
    </row>
    <row r="13" spans="1:16" ht="15" customHeight="1">
      <c r="A13" s="23"/>
      <c r="B13" s="15" t="s">
        <v>412</v>
      </c>
      <c r="C13" s="13">
        <v>18176</v>
      </c>
      <c r="D13" s="72"/>
      <c r="E13" s="14">
        <v>0.93</v>
      </c>
      <c r="F13" s="24">
        <v>74</v>
      </c>
      <c r="G13" s="51">
        <v>74</v>
      </c>
      <c r="H13" s="15">
        <v>68</v>
      </c>
      <c r="I13" s="88" t="s">
        <v>146</v>
      </c>
      <c r="J13" s="17">
        <v>130263358</v>
      </c>
      <c r="K13" s="23">
        <v>1</v>
      </c>
      <c r="L13" s="20">
        <f t="shared" ref="L13:L19" si="3">J13/M13</f>
        <v>0.23327195397671313</v>
      </c>
      <c r="M13" s="17">
        <f>163826344+135000000*N5</f>
        <v>558418428.70233691</v>
      </c>
      <c r="N13" s="21">
        <f t="shared" ref="N13:N19" si="4">M13/J13</f>
        <v>4.2868419582914248</v>
      </c>
    </row>
    <row r="14" spans="1:16" ht="15" customHeight="1">
      <c r="A14" s="23"/>
      <c r="B14" s="15" t="s">
        <v>150</v>
      </c>
      <c r="C14" s="13">
        <v>18309</v>
      </c>
      <c r="D14" s="72"/>
      <c r="E14" s="14">
        <v>0.97</v>
      </c>
      <c r="F14" s="24">
        <v>79</v>
      </c>
      <c r="G14" s="51">
        <v>85</v>
      </c>
      <c r="H14" s="15">
        <v>75</v>
      </c>
      <c r="I14" s="88" t="s">
        <v>439</v>
      </c>
      <c r="J14" s="17">
        <v>130263358</v>
      </c>
      <c r="K14" s="23">
        <v>2</v>
      </c>
      <c r="L14" s="20">
        <f t="shared" si="3"/>
        <v>0.28817483640168928</v>
      </c>
      <c r="M14" s="17">
        <f t="shared" ref="M14:M19" si="5">163826344+135000000*N6</f>
        <v>452028912.81744266</v>
      </c>
      <c r="N14" s="21">
        <f t="shared" si="4"/>
        <v>3.4701156162229645</v>
      </c>
    </row>
    <row r="15" spans="1:16" ht="15" customHeight="1">
      <c r="A15" s="23"/>
      <c r="B15" s="15" t="s">
        <v>404</v>
      </c>
      <c r="C15" s="13">
        <v>18837</v>
      </c>
      <c r="D15" s="72"/>
      <c r="E15" s="14">
        <v>0.81</v>
      </c>
      <c r="F15" s="24">
        <v>65</v>
      </c>
      <c r="G15" s="51">
        <v>68</v>
      </c>
      <c r="H15" s="15">
        <v>75</v>
      </c>
      <c r="I15" s="88" t="s">
        <v>148</v>
      </c>
      <c r="J15" s="17">
        <v>130263358</v>
      </c>
      <c r="K15" s="23">
        <v>3</v>
      </c>
      <c r="L15" s="20">
        <f t="shared" si="3"/>
        <v>0.17558708653182126</v>
      </c>
      <c r="M15" s="17">
        <f t="shared" si="5"/>
        <v>741873224.12455809</v>
      </c>
      <c r="N15" s="21">
        <f t="shared" si="4"/>
        <v>5.6951796385024718</v>
      </c>
    </row>
    <row r="16" spans="1:16" ht="15" customHeight="1">
      <c r="A16" s="23"/>
      <c r="B16" s="15" t="s">
        <v>402</v>
      </c>
      <c r="C16" s="13">
        <v>19395</v>
      </c>
      <c r="D16" s="72"/>
      <c r="E16" s="14">
        <v>0.8</v>
      </c>
      <c r="F16" s="24">
        <v>69</v>
      </c>
      <c r="G16" s="51">
        <v>76</v>
      </c>
      <c r="H16" s="15">
        <v>77</v>
      </c>
      <c r="I16" s="88" t="s">
        <v>6</v>
      </c>
      <c r="J16" s="17">
        <v>130263358</v>
      </c>
      <c r="K16" s="23">
        <v>4</v>
      </c>
      <c r="L16" s="20">
        <f t="shared" si="3"/>
        <v>0.28106304296537915</v>
      </c>
      <c r="M16" s="17">
        <f t="shared" si="5"/>
        <v>463466689.27243346</v>
      </c>
      <c r="N16" s="21">
        <f t="shared" si="4"/>
        <v>3.5579206339240343</v>
      </c>
    </row>
    <row r="17" spans="1:14" ht="15" customHeight="1">
      <c r="A17" s="23"/>
      <c r="B17" s="15" t="s">
        <v>413</v>
      </c>
      <c r="C17" s="13">
        <v>20262</v>
      </c>
      <c r="D17" s="72"/>
      <c r="E17" s="14">
        <v>0.93</v>
      </c>
      <c r="F17" s="24">
        <v>79</v>
      </c>
      <c r="G17" s="51">
        <v>78</v>
      </c>
      <c r="H17" s="15">
        <v>76</v>
      </c>
      <c r="I17" s="88" t="s">
        <v>4</v>
      </c>
      <c r="J17" s="17">
        <v>130263358</v>
      </c>
      <c r="K17" s="23">
        <v>5</v>
      </c>
      <c r="L17" s="20">
        <f t="shared" si="3"/>
        <v>0.22734964853420536</v>
      </c>
      <c r="M17" s="17">
        <f t="shared" si="5"/>
        <v>572964853.21111691</v>
      </c>
      <c r="N17" s="21">
        <f t="shared" si="4"/>
        <v>4.3985113082307992</v>
      </c>
    </row>
    <row r="18" spans="1:14" ht="15" customHeight="1">
      <c r="A18" s="23"/>
      <c r="B18" s="15" t="s">
        <v>408</v>
      </c>
      <c r="C18" s="13">
        <v>21579</v>
      </c>
      <c r="D18" s="72"/>
      <c r="E18" s="14">
        <v>0.88</v>
      </c>
      <c r="F18" s="24">
        <v>82</v>
      </c>
      <c r="G18" s="51">
        <v>85</v>
      </c>
      <c r="H18" s="15">
        <v>76</v>
      </c>
      <c r="I18" s="88" t="s">
        <v>27</v>
      </c>
      <c r="J18" s="17">
        <v>130263358</v>
      </c>
      <c r="K18" s="23">
        <v>6</v>
      </c>
      <c r="L18" s="20">
        <f t="shared" si="3"/>
        <v>0.23591584155787446</v>
      </c>
      <c r="M18" s="17">
        <f t="shared" si="5"/>
        <v>552160283.68338299</v>
      </c>
      <c r="N18" s="21">
        <f t="shared" si="4"/>
        <v>4.2387997066940573</v>
      </c>
    </row>
    <row r="19" spans="1:14" ht="15" customHeight="1">
      <c r="A19" s="23"/>
      <c r="B19" s="15" t="s">
        <v>415</v>
      </c>
      <c r="C19" s="13">
        <v>22306</v>
      </c>
      <c r="D19" s="72"/>
      <c r="E19" s="14">
        <v>0.98</v>
      </c>
      <c r="F19" s="24">
        <v>82</v>
      </c>
      <c r="G19" s="51">
        <v>83</v>
      </c>
      <c r="H19" s="15">
        <v>79</v>
      </c>
      <c r="I19" s="88" t="s">
        <v>198</v>
      </c>
      <c r="J19" s="17">
        <v>130263358</v>
      </c>
      <c r="K19" s="23">
        <v>7</v>
      </c>
      <c r="L19" s="20">
        <f t="shared" si="3"/>
        <v>0.26905695543932923</v>
      </c>
      <c r="M19" s="17">
        <f t="shared" si="5"/>
        <v>484147892.72888219</v>
      </c>
      <c r="N19" s="21">
        <f t="shared" si="4"/>
        <v>3.7166851842471478</v>
      </c>
    </row>
    <row r="20" spans="1:14" ht="15" customHeight="1">
      <c r="A20" s="23"/>
      <c r="B20" s="15" t="s">
        <v>395</v>
      </c>
      <c r="C20" s="13">
        <v>23370</v>
      </c>
      <c r="D20" s="72"/>
      <c r="E20" s="14">
        <v>0.67</v>
      </c>
      <c r="F20" s="24">
        <v>60</v>
      </c>
      <c r="G20" s="51">
        <v>61</v>
      </c>
      <c r="H20" s="15">
        <v>79</v>
      </c>
    </row>
    <row r="21" spans="1:14" ht="15" customHeight="1">
      <c r="A21" s="23"/>
      <c r="B21" s="15" t="s">
        <v>11</v>
      </c>
      <c r="C21" s="13">
        <v>24763</v>
      </c>
      <c r="D21" s="72"/>
      <c r="E21" s="14">
        <v>0.87</v>
      </c>
      <c r="F21" s="24">
        <v>72</v>
      </c>
      <c r="G21" s="51">
        <v>65</v>
      </c>
      <c r="H21" s="15">
        <v>78</v>
      </c>
      <c r="J21" s="96" t="s">
        <v>449</v>
      </c>
      <c r="M21" s="62">
        <f>163826344+135000000</f>
        <v>298826344</v>
      </c>
    </row>
    <row r="22" spans="1:14" ht="15" customHeight="1">
      <c r="A22" s="23"/>
      <c r="B22" s="15" t="s">
        <v>393</v>
      </c>
      <c r="C22" s="13">
        <v>25926</v>
      </c>
      <c r="D22" s="72"/>
      <c r="E22" s="14">
        <v>0.66</v>
      </c>
      <c r="F22" s="24">
        <v>59</v>
      </c>
      <c r="G22" s="51">
        <v>66</v>
      </c>
      <c r="H22" s="15">
        <v>79</v>
      </c>
      <c r="I22" s="88" t="s">
        <v>146</v>
      </c>
      <c r="J22" s="17">
        <v>130263358</v>
      </c>
      <c r="K22" s="23">
        <v>1</v>
      </c>
      <c r="L22" s="20">
        <f>J22/M22</f>
        <v>0.21116601907172786</v>
      </c>
      <c r="M22" s="17">
        <f>163826344+155000000*N5</f>
        <v>616876515.3249054</v>
      </c>
      <c r="N22" s="21">
        <f>M22/J22</f>
        <v>4.73561041874036</v>
      </c>
    </row>
    <row r="23" spans="1:14" ht="15" customHeight="1">
      <c r="A23" s="23"/>
      <c r="B23" s="15" t="s">
        <v>389</v>
      </c>
      <c r="C23" s="13">
        <v>26976</v>
      </c>
      <c r="D23" s="72"/>
      <c r="E23" s="14">
        <v>0.54</v>
      </c>
      <c r="F23" s="24">
        <v>55</v>
      </c>
      <c r="G23" s="51">
        <v>57</v>
      </c>
      <c r="H23" s="15">
        <v>83</v>
      </c>
      <c r="I23" s="88" t="s">
        <v>439</v>
      </c>
      <c r="J23" s="17">
        <v>130263358</v>
      </c>
      <c r="K23" s="23">
        <v>2</v>
      </c>
      <c r="L23" s="20">
        <f t="shared" ref="L23:L28" si="6">J23/M23</f>
        <v>0.26330426547057201</v>
      </c>
      <c r="M23" s="17">
        <f t="shared" ref="M23:M28" si="7">163826344+155000000*N6</f>
        <v>494725589.679286</v>
      </c>
      <c r="N23" s="21">
        <f t="shared" ref="N23:N28" si="8">M23/J23</f>
        <v>3.7978875815506461</v>
      </c>
    </row>
    <row r="24" spans="1:14" ht="15" customHeight="1">
      <c r="A24" s="23"/>
      <c r="B24" s="15" t="s">
        <v>417</v>
      </c>
      <c r="C24" s="13">
        <v>28195</v>
      </c>
      <c r="D24" s="72"/>
      <c r="E24" s="14">
        <v>1</v>
      </c>
      <c r="F24" s="24">
        <v>86</v>
      </c>
      <c r="G24" s="51">
        <v>80</v>
      </c>
      <c r="H24" s="15">
        <v>73</v>
      </c>
      <c r="I24" s="88" t="s">
        <v>148</v>
      </c>
      <c r="J24" s="17">
        <v>130263358</v>
      </c>
      <c r="K24" s="23">
        <v>3</v>
      </c>
      <c r="L24" s="20">
        <f t="shared" si="6"/>
        <v>0.15741609122218853</v>
      </c>
      <c r="M24" s="17">
        <f t="shared" si="7"/>
        <v>827509798.9578259</v>
      </c>
      <c r="N24" s="21">
        <f t="shared" si="8"/>
        <v>6.3525907182419319</v>
      </c>
    </row>
    <row r="25" spans="1:14" ht="15" customHeight="1">
      <c r="A25" s="23"/>
      <c r="B25" s="15" t="s">
        <v>400</v>
      </c>
      <c r="C25" s="13">
        <v>28298</v>
      </c>
      <c r="D25" s="72"/>
      <c r="E25" s="14">
        <v>0.8</v>
      </c>
      <c r="F25" s="24">
        <v>65</v>
      </c>
      <c r="G25" s="51">
        <v>74</v>
      </c>
      <c r="H25" s="15">
        <v>77</v>
      </c>
      <c r="I25" s="88" t="s">
        <v>6</v>
      </c>
      <c r="J25" s="17">
        <v>130263358</v>
      </c>
      <c r="K25" s="23">
        <v>4</v>
      </c>
      <c r="L25" s="20">
        <f t="shared" si="6"/>
        <v>0.25649570565124657</v>
      </c>
      <c r="M25" s="17">
        <f t="shared" si="7"/>
        <v>507857851.53501624</v>
      </c>
      <c r="N25" s="21">
        <f t="shared" si="8"/>
        <v>3.898700750022245</v>
      </c>
    </row>
    <row r="26" spans="1:14" ht="15" customHeight="1">
      <c r="A26" s="23"/>
      <c r="B26" s="15" t="s">
        <v>398</v>
      </c>
      <c r="C26" s="13">
        <v>29777</v>
      </c>
      <c r="D26" s="72"/>
      <c r="E26" s="14">
        <v>0.7</v>
      </c>
      <c r="F26" s="24">
        <v>65</v>
      </c>
      <c r="G26" s="51">
        <v>65</v>
      </c>
      <c r="H26" s="15">
        <v>83</v>
      </c>
      <c r="I26" s="88" t="s">
        <v>4</v>
      </c>
      <c r="J26" s="17">
        <v>130263358</v>
      </c>
      <c r="K26" s="23">
        <v>5</v>
      </c>
      <c r="L26" s="20">
        <f t="shared" si="6"/>
        <v>0.20559957109427948</v>
      </c>
      <c r="M26" s="17">
        <f t="shared" si="7"/>
        <v>633577965.68683791</v>
      </c>
      <c r="N26" s="21">
        <f t="shared" si="8"/>
        <v>4.8638233760781597</v>
      </c>
    </row>
    <row r="27" spans="1:14" ht="15" customHeight="1">
      <c r="A27" s="23"/>
      <c r="B27" s="15" t="s">
        <v>390</v>
      </c>
      <c r="C27" s="13">
        <v>31252</v>
      </c>
      <c r="D27" s="72"/>
      <c r="E27" s="14">
        <v>0.55000000000000004</v>
      </c>
      <c r="F27" s="24">
        <v>56</v>
      </c>
      <c r="G27" s="51">
        <v>59</v>
      </c>
      <c r="H27" s="15">
        <v>80</v>
      </c>
      <c r="I27" s="88" t="s">
        <v>27</v>
      </c>
      <c r="J27" s="17">
        <v>130263358</v>
      </c>
      <c r="K27" s="23">
        <v>6</v>
      </c>
      <c r="L27" s="20">
        <f t="shared" si="6"/>
        <v>0.21365463359642728</v>
      </c>
      <c r="M27" s="17">
        <f t="shared" si="7"/>
        <v>609691237.7105509</v>
      </c>
      <c r="N27" s="21">
        <f t="shared" si="8"/>
        <v>4.6804507965359754</v>
      </c>
    </row>
    <row r="28" spans="1:14" ht="15" customHeight="1">
      <c r="A28" s="23"/>
      <c r="B28" s="15" t="s">
        <v>399</v>
      </c>
      <c r="C28" s="13">
        <v>31595</v>
      </c>
      <c r="D28" s="72">
        <v>88</v>
      </c>
      <c r="E28" s="14">
        <v>0.79</v>
      </c>
      <c r="F28" s="24">
        <v>71</v>
      </c>
      <c r="G28" s="51">
        <v>73</v>
      </c>
      <c r="H28" s="15">
        <v>74</v>
      </c>
      <c r="I28" s="88" t="s">
        <v>198</v>
      </c>
      <c r="J28" s="17">
        <v>130263358</v>
      </c>
      <c r="K28" s="23">
        <v>7</v>
      </c>
      <c r="L28" s="20">
        <f t="shared" si="6"/>
        <v>0.24503882303357633</v>
      </c>
      <c r="M28" s="17">
        <f t="shared" si="7"/>
        <v>531602936.98501289</v>
      </c>
      <c r="N28" s="21">
        <f t="shared" si="8"/>
        <v>4.0809859744673007</v>
      </c>
    </row>
    <row r="29" spans="1:14" ht="15" customHeight="1">
      <c r="A29" s="23"/>
      <c r="B29" s="15" t="s">
        <v>387</v>
      </c>
      <c r="C29" s="13">
        <v>32465</v>
      </c>
      <c r="D29" s="72"/>
      <c r="E29" s="14">
        <v>0.5</v>
      </c>
      <c r="F29" s="24">
        <v>53</v>
      </c>
      <c r="G29" s="51">
        <v>58</v>
      </c>
      <c r="H29" s="15">
        <v>75</v>
      </c>
    </row>
    <row r="30" spans="1:14" ht="15" customHeight="1">
      <c r="A30" s="23"/>
      <c r="B30" s="15" t="s">
        <v>276</v>
      </c>
      <c r="C30" s="13">
        <v>32829</v>
      </c>
      <c r="D30" s="72">
        <v>93</v>
      </c>
      <c r="E30" s="14">
        <v>0.93</v>
      </c>
      <c r="F30" s="24">
        <v>82</v>
      </c>
      <c r="G30" s="51">
        <v>88</v>
      </c>
      <c r="H30" s="15">
        <v>84</v>
      </c>
    </row>
    <row r="31" spans="1:14" ht="15" customHeight="1">
      <c r="A31" s="23"/>
      <c r="B31" s="15" t="s">
        <v>396</v>
      </c>
      <c r="C31" s="13">
        <v>33193</v>
      </c>
      <c r="D31" s="72"/>
      <c r="E31" s="14">
        <v>0.69</v>
      </c>
      <c r="F31" s="24">
        <v>63</v>
      </c>
      <c r="G31" s="51">
        <v>70</v>
      </c>
      <c r="H31" s="15">
        <v>77</v>
      </c>
    </row>
    <row r="32" spans="1:14" ht="15" customHeight="1">
      <c r="A32" s="23"/>
      <c r="B32" s="15" t="s">
        <v>22</v>
      </c>
      <c r="C32" s="13">
        <v>33564</v>
      </c>
      <c r="D32" s="72">
        <v>85</v>
      </c>
      <c r="E32" s="14">
        <v>0.94</v>
      </c>
      <c r="F32" s="24">
        <v>85</v>
      </c>
      <c r="G32" s="51">
        <v>95</v>
      </c>
      <c r="H32" s="15">
        <v>85</v>
      </c>
    </row>
    <row r="33" spans="1:8" ht="15" customHeight="1">
      <c r="A33" s="23"/>
      <c r="B33" s="15" t="s">
        <v>38</v>
      </c>
      <c r="C33" s="13">
        <v>33933</v>
      </c>
      <c r="D33" s="72">
        <v>95</v>
      </c>
      <c r="E33" s="14">
        <v>0.95</v>
      </c>
      <c r="F33" s="24">
        <v>82</v>
      </c>
      <c r="G33" s="51">
        <v>86</v>
      </c>
      <c r="H33" s="15">
        <v>92</v>
      </c>
    </row>
    <row r="34" spans="1:8" ht="15" customHeight="1">
      <c r="A34" s="23"/>
      <c r="B34" s="15" t="s">
        <v>39</v>
      </c>
      <c r="C34" s="13">
        <v>34509</v>
      </c>
      <c r="D34" s="72">
        <v>98</v>
      </c>
      <c r="E34" s="14">
        <v>0.93</v>
      </c>
      <c r="F34" s="24">
        <v>84</v>
      </c>
      <c r="G34" s="51">
        <v>88</v>
      </c>
      <c r="H34" s="15">
        <v>88</v>
      </c>
    </row>
    <row r="35" spans="1:8" ht="15" customHeight="1">
      <c r="A35" s="23"/>
      <c r="B35" s="15" t="s">
        <v>391</v>
      </c>
      <c r="C35" s="13">
        <v>34873</v>
      </c>
      <c r="D35" s="72">
        <v>69</v>
      </c>
      <c r="E35" s="14">
        <v>0.55000000000000004</v>
      </c>
      <c r="F35" s="24">
        <v>59</v>
      </c>
      <c r="G35" s="51">
        <v>58</v>
      </c>
      <c r="H35" s="15">
        <v>81</v>
      </c>
    </row>
    <row r="36" spans="1:8" ht="15" customHeight="1">
      <c r="A36" s="23"/>
      <c r="B36" s="15" t="s">
        <v>277</v>
      </c>
      <c r="C36" s="13">
        <v>35237</v>
      </c>
      <c r="D36" s="72">
        <v>85</v>
      </c>
      <c r="E36" s="14">
        <v>0.71</v>
      </c>
      <c r="F36" s="24">
        <v>71</v>
      </c>
      <c r="G36" s="51">
        <v>74</v>
      </c>
      <c r="H36" s="15">
        <v>93</v>
      </c>
    </row>
    <row r="37" spans="1:8" ht="15" customHeight="1">
      <c r="A37" s="23"/>
      <c r="B37" s="15" t="s">
        <v>405</v>
      </c>
      <c r="C37" s="13">
        <v>35608</v>
      </c>
      <c r="D37" s="72">
        <v>74</v>
      </c>
      <c r="E37" s="14">
        <v>0.84</v>
      </c>
      <c r="F37" s="24">
        <v>70</v>
      </c>
      <c r="G37" s="51">
        <v>74</v>
      </c>
      <c r="H37" s="15">
        <v>95</v>
      </c>
    </row>
    <row r="38" spans="1:8" ht="15" customHeight="1">
      <c r="A38" s="23"/>
      <c r="B38" s="15" t="s">
        <v>151</v>
      </c>
      <c r="C38" s="13">
        <v>35965</v>
      </c>
      <c r="D38" s="72">
        <v>82</v>
      </c>
      <c r="E38" s="14">
        <v>0.86</v>
      </c>
      <c r="F38" s="24">
        <v>76</v>
      </c>
      <c r="G38" s="51">
        <v>71</v>
      </c>
      <c r="H38" s="15">
        <v>89</v>
      </c>
    </row>
    <row r="39" spans="1:8" ht="15" customHeight="1">
      <c r="A39" s="23"/>
      <c r="B39" s="15" t="s">
        <v>410</v>
      </c>
      <c r="C39" s="13">
        <v>36329</v>
      </c>
      <c r="D39" s="72">
        <v>80</v>
      </c>
      <c r="E39" s="14">
        <v>0.89</v>
      </c>
      <c r="F39" s="24">
        <v>76</v>
      </c>
      <c r="G39" s="51">
        <v>79</v>
      </c>
      <c r="H39" s="15">
        <v>89</v>
      </c>
    </row>
    <row r="40" spans="1:8" ht="15" customHeight="1">
      <c r="A40" s="23"/>
      <c r="B40" s="15" t="s">
        <v>403</v>
      </c>
      <c r="C40" s="13">
        <v>36526</v>
      </c>
      <c r="D40" s="72"/>
      <c r="E40" s="14">
        <v>0.81</v>
      </c>
      <c r="F40" s="24">
        <v>70</v>
      </c>
      <c r="G40" s="51">
        <v>59</v>
      </c>
      <c r="H40" s="15">
        <v>75</v>
      </c>
    </row>
    <row r="41" spans="1:8" ht="15" customHeight="1">
      <c r="A41" s="23"/>
      <c r="B41" s="15" t="s">
        <v>392</v>
      </c>
      <c r="C41" s="13">
        <v>36665</v>
      </c>
      <c r="D41" s="72"/>
      <c r="E41" s="14">
        <v>0.64</v>
      </c>
      <c r="F41" s="24">
        <v>61</v>
      </c>
      <c r="G41" s="51">
        <v>56</v>
      </c>
      <c r="H41" s="15">
        <v>82</v>
      </c>
    </row>
    <row r="42" spans="1:8" ht="15" customHeight="1">
      <c r="A42" s="23"/>
      <c r="B42" s="15" t="s">
        <v>406</v>
      </c>
      <c r="C42" s="13">
        <v>36875</v>
      </c>
      <c r="D42" s="72">
        <v>84</v>
      </c>
      <c r="E42" s="14">
        <v>0.85</v>
      </c>
      <c r="F42" s="24">
        <v>71</v>
      </c>
      <c r="G42" s="51">
        <v>70</v>
      </c>
      <c r="H42" s="15">
        <v>80</v>
      </c>
    </row>
    <row r="43" spans="1:8" ht="15" customHeight="1">
      <c r="A43" s="23"/>
      <c r="B43" s="15" t="s">
        <v>386</v>
      </c>
      <c r="C43" s="13">
        <v>37057</v>
      </c>
      <c r="D43" s="72"/>
      <c r="E43" s="14">
        <v>0.49</v>
      </c>
      <c r="F43" s="24">
        <v>55</v>
      </c>
      <c r="G43" s="51">
        <v>52</v>
      </c>
      <c r="H43" s="15">
        <v>96</v>
      </c>
    </row>
    <row r="44" spans="1:8" ht="15" customHeight="1">
      <c r="A44" s="23"/>
      <c r="B44" s="15" t="s">
        <v>407</v>
      </c>
      <c r="C44" s="13">
        <v>37428</v>
      </c>
      <c r="D44" s="72"/>
      <c r="E44" s="14">
        <v>0.86</v>
      </c>
      <c r="F44" s="24">
        <v>73</v>
      </c>
      <c r="G44" s="51">
        <v>73</v>
      </c>
      <c r="H44" s="15">
        <v>85</v>
      </c>
    </row>
    <row r="45" spans="1:8" ht="15" customHeight="1">
      <c r="A45" s="23"/>
      <c r="B45" s="15" t="s">
        <v>397</v>
      </c>
      <c r="C45" s="13">
        <v>37587</v>
      </c>
      <c r="D45" s="72"/>
      <c r="E45" s="14">
        <v>0.69</v>
      </c>
      <c r="F45" s="24">
        <v>65</v>
      </c>
      <c r="G45" s="51">
        <v>60</v>
      </c>
      <c r="H45" s="15">
        <v>97</v>
      </c>
    </row>
    <row r="46" spans="1:8" ht="15" customHeight="1">
      <c r="A46" s="23"/>
      <c r="B46" s="15" t="s">
        <v>384</v>
      </c>
      <c r="C46" s="13">
        <v>37926</v>
      </c>
      <c r="D46" s="72"/>
      <c r="E46" s="14">
        <v>0.37</v>
      </c>
      <c r="F46" s="24">
        <v>54</v>
      </c>
      <c r="G46" s="51">
        <v>48</v>
      </c>
      <c r="H46" s="15">
        <v>86</v>
      </c>
    </row>
    <row r="47" spans="1:8" ht="15" customHeight="1">
      <c r="A47" s="23"/>
      <c r="B47" s="15" t="s">
        <v>388</v>
      </c>
      <c r="C47" s="13">
        <v>38079</v>
      </c>
      <c r="D47" s="72"/>
      <c r="E47" s="14">
        <v>0.53</v>
      </c>
      <c r="F47" s="24">
        <v>57</v>
      </c>
      <c r="G47" s="51">
        <v>50</v>
      </c>
      <c r="H47" s="15">
        <v>80</v>
      </c>
    </row>
    <row r="48" spans="1:8" ht="15" customHeight="1">
      <c r="A48" s="23"/>
      <c r="B48" s="15" t="s">
        <v>385</v>
      </c>
      <c r="C48" s="13">
        <v>38660</v>
      </c>
      <c r="D48" s="72">
        <v>60</v>
      </c>
      <c r="E48" s="14">
        <v>0.37</v>
      </c>
      <c r="F48" s="24">
        <v>54</v>
      </c>
      <c r="G48" s="51">
        <v>48</v>
      </c>
      <c r="H48" s="15">
        <v>81</v>
      </c>
    </row>
    <row r="49" spans="1:8" ht="15" customHeight="1">
      <c r="A49" s="23"/>
      <c r="B49" s="15" t="s">
        <v>313</v>
      </c>
      <c r="C49" s="13">
        <v>39171</v>
      </c>
      <c r="D49" s="72"/>
      <c r="E49" s="14">
        <v>0.67</v>
      </c>
      <c r="F49" s="24">
        <v>64</v>
      </c>
      <c r="G49" s="51">
        <v>61</v>
      </c>
      <c r="H49" s="15">
        <v>94</v>
      </c>
    </row>
    <row r="50" spans="1:8" ht="15" customHeight="1">
      <c r="A50" s="23"/>
      <c r="B50" s="15" t="s">
        <v>314</v>
      </c>
      <c r="C50" s="13">
        <v>39773</v>
      </c>
      <c r="D50" s="72"/>
      <c r="E50" s="14">
        <v>0.89</v>
      </c>
      <c r="F50" s="24">
        <v>72</v>
      </c>
      <c r="G50" s="51">
        <v>67</v>
      </c>
      <c r="H50" s="15">
        <v>97</v>
      </c>
    </row>
    <row r="51" spans="1:8" ht="15" customHeight="1">
      <c r="A51" s="23"/>
      <c r="B51" s="15" t="s">
        <v>152</v>
      </c>
      <c r="C51" s="13">
        <v>40158</v>
      </c>
      <c r="D51" s="72">
        <v>84</v>
      </c>
      <c r="E51" s="14">
        <v>0.85</v>
      </c>
      <c r="F51" s="24">
        <v>74</v>
      </c>
      <c r="G51" s="51">
        <v>73</v>
      </c>
      <c r="H51" s="15">
        <v>98</v>
      </c>
    </row>
    <row r="52" spans="1:8" ht="15" customHeight="1">
      <c r="A52" s="23"/>
      <c r="B52" s="15" t="s">
        <v>146</v>
      </c>
      <c r="C52" s="13">
        <v>40506</v>
      </c>
      <c r="D52" s="72">
        <v>85</v>
      </c>
      <c r="E52" s="14">
        <v>0.89</v>
      </c>
      <c r="F52" s="24">
        <v>75</v>
      </c>
      <c r="G52" s="51">
        <v>71</v>
      </c>
      <c r="H52" s="15">
        <v>100</v>
      </c>
    </row>
    <row r="53" spans="1:8" ht="15" customHeight="1">
      <c r="A53" s="23"/>
      <c r="B53" s="15" t="s">
        <v>153</v>
      </c>
      <c r="C53" s="13">
        <v>40739</v>
      </c>
      <c r="D53" s="72">
        <v>71</v>
      </c>
      <c r="E53" s="14">
        <v>0.91</v>
      </c>
      <c r="F53" s="24">
        <v>72</v>
      </c>
      <c r="G53" s="51">
        <v>74</v>
      </c>
      <c r="H53" s="15">
        <v>65</v>
      </c>
    </row>
    <row r="54" spans="1:8" ht="15" customHeight="1">
      <c r="A54" s="23"/>
      <c r="B54" s="15" t="s">
        <v>147</v>
      </c>
      <c r="C54" s="13">
        <v>41215</v>
      </c>
      <c r="D54" s="72">
        <v>85</v>
      </c>
      <c r="E54" s="14">
        <v>0.87</v>
      </c>
      <c r="F54" s="24">
        <v>74</v>
      </c>
      <c r="G54" s="51">
        <v>72</v>
      </c>
      <c r="H54" s="15">
        <v>101</v>
      </c>
    </row>
    <row r="55" spans="1:8" ht="15" customHeight="1">
      <c r="A55" s="23"/>
      <c r="B55" s="15" t="s">
        <v>148</v>
      </c>
      <c r="C55" s="13">
        <v>41605</v>
      </c>
      <c r="D55" s="72">
        <v>83</v>
      </c>
      <c r="E55" s="14">
        <v>0.9</v>
      </c>
      <c r="F55" s="24">
        <v>77</v>
      </c>
      <c r="G55" s="51">
        <v>74</v>
      </c>
      <c r="H55" s="15">
        <v>103</v>
      </c>
    </row>
    <row r="56" spans="1:8" ht="15" customHeight="1">
      <c r="A56" s="23"/>
      <c r="B56" s="15" t="s">
        <v>149</v>
      </c>
      <c r="C56" s="13">
        <v>41950</v>
      </c>
      <c r="D56" s="72">
        <v>85</v>
      </c>
      <c r="E56" s="14">
        <v>0.89</v>
      </c>
      <c r="F56" s="24">
        <v>73</v>
      </c>
      <c r="G56" s="51">
        <v>74</v>
      </c>
      <c r="H56" s="15">
        <v>103</v>
      </c>
    </row>
    <row r="57" spans="1:8" ht="15" customHeight="1">
      <c r="A57" s="23"/>
      <c r="B57" s="15" t="s">
        <v>3</v>
      </c>
      <c r="C57" s="13">
        <v>42433</v>
      </c>
      <c r="D57" s="72">
        <v>85</v>
      </c>
      <c r="E57" s="14">
        <v>0.98</v>
      </c>
      <c r="F57" s="24">
        <v>81</v>
      </c>
      <c r="G57" s="51">
        <v>78</v>
      </c>
      <c r="H57" s="15">
        <v>108</v>
      </c>
    </row>
    <row r="58" spans="1:8" ht="15" customHeight="1">
      <c r="A58" s="23"/>
      <c r="B58" s="15" t="s">
        <v>4</v>
      </c>
      <c r="C58" s="13">
        <v>42697</v>
      </c>
      <c r="D58" s="72">
        <v>95</v>
      </c>
      <c r="E58" s="14">
        <v>0.95</v>
      </c>
      <c r="F58" s="24">
        <v>79</v>
      </c>
      <c r="G58" s="51">
        <v>81</v>
      </c>
      <c r="H58" s="15">
        <v>107</v>
      </c>
    </row>
    <row r="59" spans="1:8" ht="15" customHeight="1">
      <c r="A59" s="23"/>
      <c r="B59" s="15" t="s">
        <v>198</v>
      </c>
      <c r="C59" s="13">
        <v>43425</v>
      </c>
      <c r="D59" s="72">
        <v>76</v>
      </c>
      <c r="E59" s="14">
        <v>0.88</v>
      </c>
      <c r="F59" s="24">
        <v>73</v>
      </c>
      <c r="G59" s="51">
        <v>71</v>
      </c>
      <c r="H59" s="15">
        <v>112</v>
      </c>
    </row>
    <row r="60" spans="1:8" ht="15" customHeight="1">
      <c r="A60" s="23"/>
      <c r="B60" s="15" t="s">
        <v>282</v>
      </c>
      <c r="C60" s="13">
        <v>43791</v>
      </c>
      <c r="D60" s="72">
        <v>74</v>
      </c>
      <c r="E60" s="14">
        <v>0.78</v>
      </c>
      <c r="F60" s="24">
        <v>67</v>
      </c>
      <c r="G60" s="51">
        <v>65</v>
      </c>
      <c r="H60" s="15">
        <v>103</v>
      </c>
    </row>
    <row r="61" spans="1:8" ht="15" customHeight="1">
      <c r="A61" s="23"/>
      <c r="B61" s="15" t="s">
        <v>311</v>
      </c>
      <c r="C61" s="13">
        <v>44160</v>
      </c>
      <c r="D61" s="72"/>
      <c r="E61" s="14"/>
      <c r="F61" s="24"/>
      <c r="G61" s="51"/>
      <c r="H61" s="15"/>
    </row>
  </sheetData>
  <autoFilter ref="A2:H2" xr:uid="{24D32DAE-8391-4C35-902A-DAD52E4DA56F}">
    <sortState xmlns:xlrd2="http://schemas.microsoft.com/office/spreadsheetml/2017/richdata2" ref="A3:H61">
      <sortCondition ref="C2"/>
    </sortState>
  </autoFilter>
  <sortState xmlns:xlrd2="http://schemas.microsoft.com/office/spreadsheetml/2017/richdata2" ref="A3:H61">
    <sortCondition descending="1" ref="D12"/>
  </sortState>
  <mergeCells count="1">
    <mergeCell ref="A1:H1"/>
  </mergeCells>
  <conditionalFormatting sqref="F62:F1048576">
    <cfRule type="cellIs" dxfId="71" priority="21" operator="between">
      <formula>0.4</formula>
      <formula>0.59</formula>
    </cfRule>
    <cfRule type="cellIs" dxfId="70" priority="22" operator="between">
      <formula>0.01</formula>
      <formula>0.39</formula>
    </cfRule>
    <cfRule type="cellIs" dxfId="69" priority="23" operator="between">
      <formula>0.6</formula>
      <formula>0.79</formula>
    </cfRule>
    <cfRule type="cellIs" dxfId="68" priority="24" operator="between">
      <formula>0.8</formula>
      <formula>1</formula>
    </cfRule>
  </conditionalFormatting>
  <conditionalFormatting sqref="G3:H61 D3:D61">
    <cfRule type="cellIs" dxfId="67" priority="20" operator="between">
      <formula>0.005</formula>
      <formula>0.394999999999999</formula>
    </cfRule>
  </conditionalFormatting>
  <conditionalFormatting sqref="G3:H61 D3:D61">
    <cfRule type="cellIs" dxfId="66" priority="17" operator="between">
      <formula>0.745</formula>
      <formula>1</formula>
    </cfRule>
  </conditionalFormatting>
  <conditionalFormatting sqref="G3:H61 D3:D61">
    <cfRule type="cellIs" dxfId="65" priority="18" operator="between">
      <formula>0.595</formula>
      <formula>0.744999999999999</formula>
    </cfRule>
  </conditionalFormatting>
  <conditionalFormatting sqref="G3:H61 D3:D61">
    <cfRule type="cellIs" dxfId="64" priority="19" operator="between">
      <formula>0.395</formula>
      <formula>0.594999999999999</formula>
    </cfRule>
  </conditionalFormatting>
  <conditionalFormatting sqref="F2">
    <cfRule type="cellIs" dxfId="63" priority="13" operator="between">
      <formula>39.5</formula>
      <formula>59.4999999</formula>
    </cfRule>
    <cfRule type="cellIs" dxfId="62" priority="14" operator="between">
      <formula>1</formula>
      <formula>39.499999</formula>
    </cfRule>
    <cfRule type="cellIs" dxfId="61" priority="15" operator="between">
      <formula>59.5</formula>
      <formula>70.4999</formula>
    </cfRule>
    <cfRule type="cellIs" dxfId="60" priority="16" operator="between">
      <formula>70.499</formula>
      <formula>100</formula>
    </cfRule>
  </conditionalFormatting>
  <conditionalFormatting sqref="F3:F61">
    <cfRule type="cellIs" dxfId="59" priority="12" operator="between">
      <formula>0.005</formula>
      <formula>0.394999999999999</formula>
    </cfRule>
  </conditionalFormatting>
  <conditionalFormatting sqref="F3:F61">
    <cfRule type="cellIs" dxfId="58" priority="9" operator="between">
      <formula>0.745</formula>
      <formula>1</formula>
    </cfRule>
  </conditionalFormatting>
  <conditionalFormatting sqref="F3:F61">
    <cfRule type="cellIs" dxfId="57" priority="10" operator="between">
      <formula>0.595</formula>
      <formula>0.744999999999999</formula>
    </cfRule>
  </conditionalFormatting>
  <conditionalFormatting sqref="F3:F61">
    <cfRule type="cellIs" dxfId="56" priority="11" operator="between">
      <formula>0.395</formula>
      <formula>0.594999999999999</formula>
    </cfRule>
  </conditionalFormatting>
  <conditionalFormatting sqref="F3:F61">
    <cfRule type="cellIs" dxfId="55" priority="5" operator="between">
      <formula>39.5</formula>
      <formula>59.499999999</formula>
    </cfRule>
    <cfRule type="cellIs" dxfId="54" priority="6" operator="between">
      <formula>1</formula>
      <formula>39.49999999</formula>
    </cfRule>
    <cfRule type="cellIs" dxfId="53" priority="7" operator="between">
      <formula>59.5</formula>
      <formula>74.4999999</formula>
    </cfRule>
    <cfRule type="cellIs" dxfId="52" priority="8" operator="between">
      <formula>74.5</formula>
      <formula>100</formula>
    </cfRule>
  </conditionalFormatting>
  <conditionalFormatting sqref="E3:E61">
    <cfRule type="cellIs" dxfId="51" priority="4" operator="between">
      <formula>0.005</formula>
      <formula>0.394999999999999</formula>
    </cfRule>
  </conditionalFormatting>
  <conditionalFormatting sqref="E3:E61">
    <cfRule type="cellIs" dxfId="50" priority="1" operator="between">
      <formula>0.745</formula>
      <formula>1</formula>
    </cfRule>
  </conditionalFormatting>
  <conditionalFormatting sqref="E3:E61">
    <cfRule type="cellIs" dxfId="49" priority="2" operator="between">
      <formula>0.595</formula>
      <formula>0.744999999999999</formula>
    </cfRule>
  </conditionalFormatting>
  <conditionalFormatting sqref="E3:E61">
    <cfRule type="cellIs" dxfId="48" priority="3" operator="between">
      <formula>0.395</formula>
      <formula>0.594999999999999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O85"/>
  <sheetViews>
    <sheetView zoomScaleNormal="100" workbookViewId="0">
      <selection activeCell="I20" sqref="I20"/>
    </sheetView>
  </sheetViews>
  <sheetFormatPr defaultColWidth="9.140625" defaultRowHeight="15" customHeight="1"/>
  <cols>
    <col min="1" max="1" width="5.7109375" style="1" bestFit="1" customWidth="1"/>
    <col min="2" max="2" width="33.28515625" style="1" bestFit="1" customWidth="1"/>
    <col min="3" max="3" width="18" style="1" bestFit="1" customWidth="1"/>
    <col min="4" max="4" width="6.42578125" style="67" bestFit="1" customWidth="1"/>
    <col min="5" max="5" width="6" style="67" bestFit="1" customWidth="1"/>
    <col min="6" max="7" width="5.7109375" style="1" bestFit="1" customWidth="1"/>
    <col min="8" max="8" width="5.42578125" style="1" bestFit="1" customWidth="1"/>
    <col min="9" max="9" width="15.42578125" style="1" bestFit="1" customWidth="1"/>
    <col min="10" max="10" width="15" style="1" bestFit="1" customWidth="1"/>
    <col min="11" max="11" width="9.42578125" style="1" bestFit="1" customWidth="1"/>
    <col min="12" max="12" width="15.42578125" style="1" bestFit="1" customWidth="1"/>
    <col min="13" max="13" width="8.7109375" style="1" bestFit="1" customWidth="1"/>
    <col min="14" max="15" width="15.85546875" style="1" bestFit="1" customWidth="1"/>
    <col min="16" max="16384" width="9.140625" style="1"/>
  </cols>
  <sheetData>
    <row r="1" spans="1:15" ht="15" customHeight="1">
      <c r="A1" s="63" t="s">
        <v>145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</row>
    <row r="2" spans="1:15" s="64" customFormat="1" ht="15" customHeight="1">
      <c r="A2" s="2" t="s">
        <v>15</v>
      </c>
      <c r="B2" s="2" t="s">
        <v>19</v>
      </c>
      <c r="C2" s="3" t="s">
        <v>2</v>
      </c>
      <c r="D2" s="2" t="s">
        <v>91</v>
      </c>
      <c r="E2" s="4" t="s">
        <v>92</v>
      </c>
      <c r="F2" s="56" t="s">
        <v>93</v>
      </c>
      <c r="G2" s="5" t="s">
        <v>127</v>
      </c>
      <c r="H2" s="2" t="s">
        <v>85</v>
      </c>
      <c r="I2" s="6" t="s">
        <v>9</v>
      </c>
      <c r="J2" s="6" t="s">
        <v>0</v>
      </c>
      <c r="K2" s="8" t="s">
        <v>37</v>
      </c>
      <c r="L2" s="6" t="s">
        <v>8</v>
      </c>
      <c r="M2" s="9" t="s">
        <v>20</v>
      </c>
      <c r="N2" s="9" t="s">
        <v>21</v>
      </c>
      <c r="O2" s="6" t="s">
        <v>1</v>
      </c>
    </row>
    <row r="3" spans="1:15" ht="15" customHeight="1">
      <c r="A3" s="15">
        <v>1</v>
      </c>
      <c r="B3" s="65" t="s">
        <v>224</v>
      </c>
      <c r="C3" s="13">
        <v>43581</v>
      </c>
      <c r="D3" s="23">
        <v>90</v>
      </c>
      <c r="E3" s="14">
        <v>0.94</v>
      </c>
      <c r="F3" s="24">
        <v>83</v>
      </c>
      <c r="G3" s="24">
        <v>78</v>
      </c>
      <c r="H3" s="15">
        <v>91</v>
      </c>
      <c r="I3" s="17">
        <v>356000000</v>
      </c>
      <c r="J3" s="17">
        <v>357115007</v>
      </c>
      <c r="K3" s="20">
        <f t="shared" ref="K3:K25" si="0">J3/L3</f>
        <v>0.41778109115904499</v>
      </c>
      <c r="L3" s="17">
        <v>854789780</v>
      </c>
      <c r="M3" s="21">
        <f t="shared" ref="M3:M25" si="1">L3/J3</f>
        <v>2.3935980377324215</v>
      </c>
      <c r="N3" s="17">
        <v>1936059483</v>
      </c>
      <c r="O3" s="17">
        <f t="shared" ref="O3:O25" si="2">L3+N3</f>
        <v>2790849263</v>
      </c>
    </row>
    <row r="4" spans="1:15" ht="15" customHeight="1">
      <c r="A4" s="15">
        <v>2</v>
      </c>
      <c r="B4" s="65" t="s">
        <v>140</v>
      </c>
      <c r="C4" s="13">
        <v>41733</v>
      </c>
      <c r="D4" s="23">
        <v>87</v>
      </c>
      <c r="E4" s="14">
        <v>0.9</v>
      </c>
      <c r="F4" s="24">
        <v>76.099999999999994</v>
      </c>
      <c r="G4" s="24">
        <v>70</v>
      </c>
      <c r="H4" s="15">
        <v>78</v>
      </c>
      <c r="I4" s="17">
        <v>177000000</v>
      </c>
      <c r="J4" s="17">
        <v>95023721</v>
      </c>
      <c r="K4" s="20">
        <f t="shared" si="0"/>
        <v>0.36580426907277352</v>
      </c>
      <c r="L4" s="17">
        <v>259766572</v>
      </c>
      <c r="M4" s="21">
        <f t="shared" si="1"/>
        <v>2.7337023773253417</v>
      </c>
      <c r="N4" s="17">
        <v>454497695</v>
      </c>
      <c r="O4" s="17">
        <f t="shared" si="2"/>
        <v>714264267</v>
      </c>
    </row>
    <row r="5" spans="1:15" ht="15" customHeight="1">
      <c r="A5" s="15">
        <v>5</v>
      </c>
      <c r="B5" s="65" t="s">
        <v>144</v>
      </c>
      <c r="C5" s="13">
        <v>42923</v>
      </c>
      <c r="D5" s="23">
        <v>80</v>
      </c>
      <c r="E5" s="14">
        <v>0.92</v>
      </c>
      <c r="F5" s="24">
        <v>77</v>
      </c>
      <c r="G5" s="24">
        <v>73</v>
      </c>
      <c r="H5" s="15">
        <v>75</v>
      </c>
      <c r="I5" s="17">
        <v>175000000</v>
      </c>
      <c r="J5" s="17">
        <v>117027503</v>
      </c>
      <c r="K5" s="20">
        <f t="shared" si="0"/>
        <v>0.35017086716101564</v>
      </c>
      <c r="L5" s="17">
        <v>334201140</v>
      </c>
      <c r="M5" s="21">
        <f t="shared" si="1"/>
        <v>2.8557487037897409</v>
      </c>
      <c r="N5" s="17">
        <v>545965784</v>
      </c>
      <c r="O5" s="17">
        <f t="shared" si="2"/>
        <v>880166924</v>
      </c>
    </row>
    <row r="6" spans="1:15" ht="15" customHeight="1">
      <c r="A6" s="15">
        <v>3</v>
      </c>
      <c r="B6" s="65" t="s">
        <v>26</v>
      </c>
      <c r="C6" s="13">
        <v>43042</v>
      </c>
      <c r="D6" s="23">
        <v>80</v>
      </c>
      <c r="E6" s="14">
        <v>0.93</v>
      </c>
      <c r="F6" s="24">
        <v>76</v>
      </c>
      <c r="G6" s="24">
        <v>74</v>
      </c>
      <c r="H6" s="15">
        <v>79</v>
      </c>
      <c r="I6" s="17">
        <v>180000000</v>
      </c>
      <c r="J6" s="17">
        <v>122744989</v>
      </c>
      <c r="K6" s="20">
        <f t="shared" si="0"/>
        <v>0.38959453944092232</v>
      </c>
      <c r="L6" s="17">
        <v>315058289</v>
      </c>
      <c r="M6" s="21">
        <f t="shared" si="1"/>
        <v>2.5667710883089492</v>
      </c>
      <c r="N6" s="17">
        <v>538910611</v>
      </c>
      <c r="O6" s="17">
        <f t="shared" si="2"/>
        <v>853968900</v>
      </c>
    </row>
    <row r="7" spans="1:15" ht="15" customHeight="1">
      <c r="A7" s="15">
        <v>4</v>
      </c>
      <c r="B7" s="65" t="s">
        <v>30</v>
      </c>
      <c r="C7" s="13">
        <v>43217</v>
      </c>
      <c r="D7" s="23">
        <v>80</v>
      </c>
      <c r="E7" s="14">
        <v>0.85</v>
      </c>
      <c r="F7" s="24">
        <v>76</v>
      </c>
      <c r="G7" s="24">
        <v>68</v>
      </c>
      <c r="H7" s="15">
        <v>85</v>
      </c>
      <c r="I7" s="17">
        <v>357000000</v>
      </c>
      <c r="J7" s="17">
        <v>257698183</v>
      </c>
      <c r="K7" s="20">
        <f t="shared" si="0"/>
        <v>0.37962920680704215</v>
      </c>
      <c r="L7" s="17">
        <v>678815482</v>
      </c>
      <c r="M7" s="21">
        <f t="shared" si="1"/>
        <v>2.6341492753171645</v>
      </c>
      <c r="N7" s="17">
        <v>1367655232</v>
      </c>
      <c r="O7" s="17">
        <f t="shared" si="2"/>
        <v>2046470714</v>
      </c>
    </row>
    <row r="8" spans="1:15" ht="15" customHeight="1">
      <c r="A8" s="15">
        <v>7</v>
      </c>
      <c r="B8" s="65" t="s">
        <v>35</v>
      </c>
      <c r="C8" s="13">
        <v>43147</v>
      </c>
      <c r="D8" s="23">
        <v>78</v>
      </c>
      <c r="E8" s="14">
        <v>0.97</v>
      </c>
      <c r="F8" s="24">
        <v>82.6</v>
      </c>
      <c r="G8" s="24">
        <v>88</v>
      </c>
      <c r="H8" s="15">
        <v>78</v>
      </c>
      <c r="I8" s="17">
        <v>200000000</v>
      </c>
      <c r="J8" s="17">
        <v>202003951</v>
      </c>
      <c r="K8" s="20">
        <f t="shared" si="0"/>
        <v>0.28855251868667414</v>
      </c>
      <c r="L8" s="17">
        <v>700059566</v>
      </c>
      <c r="M8" s="21">
        <f t="shared" si="1"/>
        <v>3.4655736312801131</v>
      </c>
      <c r="N8" s="17">
        <v>646753474</v>
      </c>
      <c r="O8" s="17">
        <f t="shared" si="2"/>
        <v>1346813040</v>
      </c>
    </row>
    <row r="9" spans="1:15" ht="15" customHeight="1">
      <c r="A9" s="15">
        <v>6</v>
      </c>
      <c r="B9" s="65" t="s">
        <v>305</v>
      </c>
      <c r="C9" s="13">
        <v>43648</v>
      </c>
      <c r="D9" s="23">
        <v>78</v>
      </c>
      <c r="E9" s="14">
        <v>0.9</v>
      </c>
      <c r="F9" s="24">
        <v>74</v>
      </c>
      <c r="G9" s="24">
        <v>69</v>
      </c>
      <c r="H9" s="15">
        <v>79</v>
      </c>
      <c r="I9" s="17">
        <v>160000000</v>
      </c>
      <c r="J9" s="17">
        <v>92579212</v>
      </c>
      <c r="K9" s="20">
        <f t="shared" si="0"/>
        <v>0.26718367561610112</v>
      </c>
      <c r="L9" s="17">
        <v>346500256</v>
      </c>
      <c r="M9" s="21">
        <f t="shared" si="1"/>
        <v>3.7427436301790946</v>
      </c>
      <c r="N9" s="17">
        <v>693362076</v>
      </c>
      <c r="O9" s="17">
        <f t="shared" si="2"/>
        <v>1039862332</v>
      </c>
    </row>
    <row r="10" spans="1:15" ht="15" customHeight="1">
      <c r="A10" s="15">
        <v>8</v>
      </c>
      <c r="B10" s="65" t="s">
        <v>137</v>
      </c>
      <c r="C10" s="13">
        <v>41033</v>
      </c>
      <c r="D10" s="23">
        <v>76</v>
      </c>
      <c r="E10" s="14">
        <v>0.92</v>
      </c>
      <c r="F10" s="24">
        <v>80.5</v>
      </c>
      <c r="G10" s="24">
        <v>69</v>
      </c>
      <c r="H10" s="15">
        <v>81</v>
      </c>
      <c r="I10" s="17">
        <v>220000000</v>
      </c>
      <c r="J10" s="17">
        <v>207438708</v>
      </c>
      <c r="K10" s="20">
        <f t="shared" si="0"/>
        <v>0.33277625048505438</v>
      </c>
      <c r="L10" s="17">
        <v>623357910</v>
      </c>
      <c r="M10" s="21">
        <f t="shared" si="1"/>
        <v>3.0050221388768001</v>
      </c>
      <c r="N10" s="17">
        <v>895455078</v>
      </c>
      <c r="O10" s="17">
        <f t="shared" si="2"/>
        <v>1518812988</v>
      </c>
    </row>
    <row r="11" spans="1:15" ht="15" customHeight="1">
      <c r="A11" s="15">
        <v>9</v>
      </c>
      <c r="B11" s="65" t="s">
        <v>34</v>
      </c>
      <c r="C11" s="13">
        <v>43532</v>
      </c>
      <c r="D11" s="23">
        <v>76</v>
      </c>
      <c r="E11" s="14">
        <v>0.78</v>
      </c>
      <c r="F11" s="24">
        <v>67.900000000000006</v>
      </c>
      <c r="G11" s="24">
        <v>66</v>
      </c>
      <c r="H11" s="15">
        <v>71</v>
      </c>
      <c r="I11" s="17">
        <v>152000000</v>
      </c>
      <c r="J11" s="17">
        <v>153433423</v>
      </c>
      <c r="K11" s="20">
        <f t="shared" si="0"/>
        <v>0.35947211038354793</v>
      </c>
      <c r="L11" s="17">
        <v>426829839</v>
      </c>
      <c r="M11" s="21">
        <f t="shared" si="1"/>
        <v>2.7818569817086072</v>
      </c>
      <c r="N11" s="17">
        <v>701444955</v>
      </c>
      <c r="O11" s="17">
        <f t="shared" si="2"/>
        <v>1128274794</v>
      </c>
    </row>
    <row r="12" spans="1:15" ht="15" customHeight="1">
      <c r="A12" s="15">
        <v>10</v>
      </c>
      <c r="B12" s="65" t="s">
        <v>29</v>
      </c>
      <c r="C12" s="13">
        <v>43287</v>
      </c>
      <c r="D12" s="23">
        <v>75</v>
      </c>
      <c r="E12" s="14">
        <v>0.88</v>
      </c>
      <c r="F12" s="24">
        <v>69.599999999999994</v>
      </c>
      <c r="G12" s="24">
        <v>70</v>
      </c>
      <c r="H12" s="15">
        <v>71</v>
      </c>
      <c r="I12" s="17">
        <v>162000000</v>
      </c>
      <c r="J12" s="17">
        <v>75812205</v>
      </c>
      <c r="K12" s="20">
        <f t="shared" si="0"/>
        <v>0.34993143740415938</v>
      </c>
      <c r="L12" s="17">
        <v>216648740</v>
      </c>
      <c r="M12" s="21">
        <f t="shared" si="1"/>
        <v>2.8577026614646019</v>
      </c>
      <c r="N12" s="17">
        <v>405955882</v>
      </c>
      <c r="O12" s="17">
        <f t="shared" si="2"/>
        <v>622604622</v>
      </c>
    </row>
    <row r="13" spans="1:15" ht="15" customHeight="1">
      <c r="A13" s="15">
        <v>11</v>
      </c>
      <c r="B13" s="65" t="s">
        <v>12</v>
      </c>
      <c r="C13" s="13">
        <v>42496</v>
      </c>
      <c r="D13" s="23">
        <v>74</v>
      </c>
      <c r="E13" s="14">
        <v>0.91</v>
      </c>
      <c r="F13" s="24">
        <v>77</v>
      </c>
      <c r="G13" s="24">
        <v>75</v>
      </c>
      <c r="H13" s="15">
        <v>78</v>
      </c>
      <c r="I13" s="17">
        <v>250000000</v>
      </c>
      <c r="J13" s="17">
        <v>179139142</v>
      </c>
      <c r="K13" s="20">
        <f t="shared" si="0"/>
        <v>0.43897577164862062</v>
      </c>
      <c r="L13" s="17">
        <v>408084349</v>
      </c>
      <c r="M13" s="21">
        <f t="shared" si="1"/>
        <v>2.2780300521926136</v>
      </c>
      <c r="N13" s="17">
        <v>745220146</v>
      </c>
      <c r="O13" s="17">
        <f t="shared" si="2"/>
        <v>1153304495</v>
      </c>
    </row>
    <row r="14" spans="1:15" ht="15" customHeight="1">
      <c r="A14" s="15">
        <v>12</v>
      </c>
      <c r="B14" s="65" t="s">
        <v>141</v>
      </c>
      <c r="C14" s="13">
        <v>41852</v>
      </c>
      <c r="D14" s="23">
        <v>73</v>
      </c>
      <c r="E14" s="14">
        <v>0.91</v>
      </c>
      <c r="F14" s="24">
        <v>77.8</v>
      </c>
      <c r="G14" s="24">
        <v>76</v>
      </c>
      <c r="H14" s="15">
        <v>81</v>
      </c>
      <c r="I14" s="17">
        <v>170000000</v>
      </c>
      <c r="J14" s="17">
        <v>94320883</v>
      </c>
      <c r="K14" s="20">
        <f t="shared" si="0"/>
        <v>0.28309576062664665</v>
      </c>
      <c r="L14" s="17">
        <v>333176600</v>
      </c>
      <c r="M14" s="21">
        <f t="shared" si="1"/>
        <v>3.5323736314046168</v>
      </c>
      <c r="N14" s="17">
        <v>440152029</v>
      </c>
      <c r="O14" s="17">
        <f t="shared" si="2"/>
        <v>773328629</v>
      </c>
    </row>
    <row r="15" spans="1:15" ht="15" customHeight="1">
      <c r="A15" s="15">
        <v>13</v>
      </c>
      <c r="B15" s="65" t="s">
        <v>23</v>
      </c>
      <c r="C15" s="13">
        <v>42860</v>
      </c>
      <c r="D15" s="23">
        <v>68.099999999999994</v>
      </c>
      <c r="E15" s="14">
        <v>0.84</v>
      </c>
      <c r="F15" s="24">
        <v>73</v>
      </c>
      <c r="G15" s="24">
        <v>67</v>
      </c>
      <c r="H15" s="15">
        <v>77</v>
      </c>
      <c r="I15" s="17">
        <v>200000000</v>
      </c>
      <c r="J15" s="17">
        <v>146510104</v>
      </c>
      <c r="K15" s="20">
        <f t="shared" si="0"/>
        <v>0.3758470498404311</v>
      </c>
      <c r="L15" s="17">
        <v>389813101</v>
      </c>
      <c r="M15" s="21">
        <f t="shared" si="1"/>
        <v>2.6606567762725772</v>
      </c>
      <c r="N15" s="17">
        <v>473919411</v>
      </c>
      <c r="O15" s="17">
        <f t="shared" si="2"/>
        <v>863732512</v>
      </c>
    </row>
    <row r="16" spans="1:15" ht="15" customHeight="1">
      <c r="A16" s="15">
        <v>14</v>
      </c>
      <c r="B16" s="65" t="s">
        <v>143</v>
      </c>
      <c r="C16" s="13">
        <v>42202</v>
      </c>
      <c r="D16" s="23">
        <v>68</v>
      </c>
      <c r="E16" s="14">
        <v>0.83</v>
      </c>
      <c r="F16" s="24">
        <v>68.599999999999994</v>
      </c>
      <c r="G16" s="24">
        <v>64</v>
      </c>
      <c r="H16" s="15">
        <v>73</v>
      </c>
      <c r="I16" s="17">
        <v>142000000</v>
      </c>
      <c r="J16" s="17">
        <v>57225526</v>
      </c>
      <c r="K16" s="20">
        <f t="shared" si="0"/>
        <v>0.3175629251464645</v>
      </c>
      <c r="L16" s="17">
        <v>180202163</v>
      </c>
      <c r="M16" s="21">
        <f t="shared" si="1"/>
        <v>3.1489822042002724</v>
      </c>
      <c r="N16" s="17">
        <v>339109802</v>
      </c>
      <c r="O16" s="17">
        <f t="shared" si="2"/>
        <v>519311965</v>
      </c>
    </row>
    <row r="17" spans="1:15" ht="15" customHeight="1">
      <c r="A17" s="15">
        <v>15</v>
      </c>
      <c r="B17" s="65" t="s">
        <v>142</v>
      </c>
      <c r="C17" s="13">
        <v>42125</v>
      </c>
      <c r="D17" s="23">
        <v>65</v>
      </c>
      <c r="E17" s="14">
        <v>0.75</v>
      </c>
      <c r="F17" s="24">
        <v>68</v>
      </c>
      <c r="G17" s="24">
        <v>66</v>
      </c>
      <c r="H17" s="15">
        <v>74</v>
      </c>
      <c r="I17" s="17">
        <v>316000000</v>
      </c>
      <c r="J17" s="17">
        <v>191271109</v>
      </c>
      <c r="K17" s="20">
        <f t="shared" si="0"/>
        <v>0.41670732845620179</v>
      </c>
      <c r="L17" s="17">
        <v>459005868</v>
      </c>
      <c r="M17" s="21">
        <f t="shared" si="1"/>
        <v>2.3997658109463882</v>
      </c>
      <c r="N17" s="17">
        <v>946397826</v>
      </c>
      <c r="O17" s="17">
        <f t="shared" si="2"/>
        <v>1405403694</v>
      </c>
    </row>
    <row r="18" spans="1:15" ht="15" customHeight="1">
      <c r="A18" s="15">
        <v>16</v>
      </c>
      <c r="B18" s="65" t="s">
        <v>135</v>
      </c>
      <c r="C18" s="13">
        <v>40669</v>
      </c>
      <c r="D18" s="23">
        <v>62</v>
      </c>
      <c r="E18" s="14">
        <v>0.77</v>
      </c>
      <c r="F18" s="24">
        <v>67.2</v>
      </c>
      <c r="G18" s="24">
        <v>57</v>
      </c>
      <c r="H18" s="15">
        <v>70</v>
      </c>
      <c r="I18" s="17">
        <v>150000000</v>
      </c>
      <c r="J18" s="17">
        <v>65723338</v>
      </c>
      <c r="K18" s="20">
        <f t="shared" si="0"/>
        <v>0.36305093882900163</v>
      </c>
      <c r="L18" s="17">
        <v>181030624</v>
      </c>
      <c r="M18" s="21">
        <f t="shared" si="1"/>
        <v>2.7544344141498107</v>
      </c>
      <c r="N18" s="17">
        <v>268295994</v>
      </c>
      <c r="O18" s="17">
        <f t="shared" si="2"/>
        <v>449326618</v>
      </c>
    </row>
    <row r="19" spans="1:15" ht="15" customHeight="1">
      <c r="A19" s="66">
        <v>17</v>
      </c>
      <c r="B19" s="65" t="s">
        <v>17</v>
      </c>
      <c r="C19" s="13">
        <v>42678</v>
      </c>
      <c r="D19" s="23">
        <v>60</v>
      </c>
      <c r="E19" s="14">
        <v>0.89</v>
      </c>
      <c r="F19" s="24">
        <v>73.099999999999994</v>
      </c>
      <c r="G19" s="24">
        <v>72</v>
      </c>
      <c r="H19" s="15">
        <v>75</v>
      </c>
      <c r="I19" s="17">
        <v>165000000</v>
      </c>
      <c r="J19" s="17">
        <v>85058311</v>
      </c>
      <c r="K19" s="20">
        <f t="shared" si="0"/>
        <v>0.3656190208540232</v>
      </c>
      <c r="L19" s="17">
        <v>232641920</v>
      </c>
      <c r="M19" s="21">
        <f t="shared" si="1"/>
        <v>2.735087462529088</v>
      </c>
      <c r="N19" s="17">
        <v>445076475</v>
      </c>
      <c r="O19" s="17">
        <f t="shared" si="2"/>
        <v>677718395</v>
      </c>
    </row>
    <row r="20" spans="1:15" ht="15" customHeight="1">
      <c r="A20" s="15">
        <v>18</v>
      </c>
      <c r="B20" s="65" t="s">
        <v>136</v>
      </c>
      <c r="C20" s="13">
        <v>40746</v>
      </c>
      <c r="D20" s="23">
        <v>56</v>
      </c>
      <c r="E20" s="14">
        <v>0.8</v>
      </c>
      <c r="F20" s="24">
        <v>69.599999999999994</v>
      </c>
      <c r="G20" s="24">
        <v>66</v>
      </c>
      <c r="H20" s="15">
        <v>69</v>
      </c>
      <c r="I20" s="17">
        <v>140000000</v>
      </c>
      <c r="J20" s="17">
        <v>65058524</v>
      </c>
      <c r="K20" s="20">
        <f t="shared" si="0"/>
        <v>0.36828114856170807</v>
      </c>
      <c r="L20" s="39">
        <v>176654505</v>
      </c>
      <c r="M20" s="21">
        <f t="shared" si="1"/>
        <v>2.7153168276611992</v>
      </c>
      <c r="N20" s="39">
        <v>193915269</v>
      </c>
      <c r="O20" s="17">
        <f t="shared" si="2"/>
        <v>370569774</v>
      </c>
    </row>
    <row r="21" spans="1:15" ht="15" customHeight="1">
      <c r="A21" s="15">
        <v>19</v>
      </c>
      <c r="B21" s="65" t="s">
        <v>139</v>
      </c>
      <c r="C21" s="13">
        <v>41586</v>
      </c>
      <c r="D21" s="23">
        <v>45</v>
      </c>
      <c r="E21" s="14">
        <v>0.67</v>
      </c>
      <c r="F21" s="24">
        <v>62.3</v>
      </c>
      <c r="G21" s="24">
        <v>54</v>
      </c>
      <c r="H21" s="15">
        <v>70</v>
      </c>
      <c r="I21" s="17">
        <v>170000000</v>
      </c>
      <c r="J21" s="17">
        <v>85737841</v>
      </c>
      <c r="K21" s="20">
        <f t="shared" si="0"/>
        <v>0.41547272673175417</v>
      </c>
      <c r="L21" s="17">
        <v>206362140</v>
      </c>
      <c r="M21" s="21">
        <f t="shared" si="1"/>
        <v>2.4068968566633258</v>
      </c>
      <c r="N21" s="17">
        <v>438209262</v>
      </c>
      <c r="O21" s="17">
        <f t="shared" si="2"/>
        <v>644571402</v>
      </c>
    </row>
    <row r="22" spans="1:15" ht="15" customHeight="1">
      <c r="A22" s="15"/>
      <c r="B22" s="65" t="s">
        <v>132</v>
      </c>
      <c r="C22" s="13">
        <v>39570</v>
      </c>
      <c r="D22" s="23"/>
      <c r="E22" s="14">
        <v>0.93</v>
      </c>
      <c r="F22" s="24">
        <v>77.099999999999994</v>
      </c>
      <c r="G22" s="24">
        <v>79</v>
      </c>
      <c r="H22" s="15">
        <v>79</v>
      </c>
      <c r="I22" s="17">
        <v>140000000</v>
      </c>
      <c r="J22" s="17">
        <v>98618668</v>
      </c>
      <c r="K22" s="20">
        <f t="shared" si="0"/>
        <v>0.30972022636790425</v>
      </c>
      <c r="L22" s="17">
        <v>318412101</v>
      </c>
      <c r="M22" s="21">
        <f t="shared" si="1"/>
        <v>3.2287203574885033</v>
      </c>
      <c r="N22" s="17">
        <v>266762121</v>
      </c>
      <c r="O22" s="17">
        <f t="shared" si="2"/>
        <v>585174222</v>
      </c>
    </row>
    <row r="23" spans="1:15" ht="15" customHeight="1">
      <c r="A23" s="15"/>
      <c r="B23" s="65" t="s">
        <v>133</v>
      </c>
      <c r="C23" s="13">
        <v>39612</v>
      </c>
      <c r="D23" s="23"/>
      <c r="E23" s="14">
        <v>0.67</v>
      </c>
      <c r="F23" s="24">
        <v>61.8</v>
      </c>
      <c r="G23" s="24">
        <v>61</v>
      </c>
      <c r="H23" s="15">
        <v>68</v>
      </c>
      <c r="I23" s="39">
        <v>150000000</v>
      </c>
      <c r="J23" s="111">
        <v>55414050</v>
      </c>
      <c r="K23" s="40">
        <f t="shared" si="0"/>
        <v>0.41106237630409947</v>
      </c>
      <c r="L23" s="39">
        <v>134806913</v>
      </c>
      <c r="M23" s="41">
        <f t="shared" si="1"/>
        <v>2.4327208171934736</v>
      </c>
      <c r="N23" s="39">
        <v>128620638</v>
      </c>
      <c r="O23" s="39">
        <f t="shared" si="2"/>
        <v>263427551</v>
      </c>
    </row>
    <row r="24" spans="1:15" ht="15" customHeight="1">
      <c r="A24" s="15"/>
      <c r="B24" s="65" t="s">
        <v>134</v>
      </c>
      <c r="C24" s="13">
        <v>40305</v>
      </c>
      <c r="D24" s="23"/>
      <c r="E24" s="14">
        <v>0.73</v>
      </c>
      <c r="F24" s="24">
        <v>64.7</v>
      </c>
      <c r="G24" s="24">
        <v>57</v>
      </c>
      <c r="H24" s="15">
        <v>70</v>
      </c>
      <c r="I24" s="17">
        <v>200000000</v>
      </c>
      <c r="J24" s="17">
        <v>128122480</v>
      </c>
      <c r="K24" s="20">
        <f t="shared" si="0"/>
        <v>0.41007942267209641</v>
      </c>
      <c r="L24" s="17">
        <v>312433331</v>
      </c>
      <c r="M24" s="41">
        <f t="shared" si="1"/>
        <v>2.4385520089839035</v>
      </c>
      <c r="N24" s="17">
        <v>311500000</v>
      </c>
      <c r="O24" s="17">
        <f t="shared" si="2"/>
        <v>623933331</v>
      </c>
    </row>
    <row r="25" spans="1:15" ht="15" customHeight="1">
      <c r="A25" s="15"/>
      <c r="B25" s="65" t="s">
        <v>138</v>
      </c>
      <c r="C25" s="13">
        <v>41397</v>
      </c>
      <c r="D25" s="23"/>
      <c r="E25" s="14">
        <v>0.79</v>
      </c>
      <c r="F25" s="24">
        <v>69.900000000000006</v>
      </c>
      <c r="G25" s="24">
        <v>62</v>
      </c>
      <c r="H25" s="15">
        <v>72</v>
      </c>
      <c r="I25" s="17">
        <v>200000000</v>
      </c>
      <c r="J25" s="17">
        <v>174144585</v>
      </c>
      <c r="K25" s="20">
        <f t="shared" si="0"/>
        <v>0.42576681373889619</v>
      </c>
      <c r="L25" s="17">
        <v>409013994</v>
      </c>
      <c r="M25" s="41">
        <f t="shared" si="1"/>
        <v>2.3487034868181516</v>
      </c>
      <c r="N25" s="17">
        <v>805797258</v>
      </c>
      <c r="O25" s="17">
        <f t="shared" si="2"/>
        <v>1214811252</v>
      </c>
    </row>
    <row r="26" spans="1:15" ht="15" customHeight="1">
      <c r="D26" s="1"/>
      <c r="E26" s="1"/>
    </row>
    <row r="27" spans="1:15" ht="15" customHeight="1">
      <c r="D27" s="1"/>
      <c r="E27" s="1"/>
    </row>
    <row r="28" spans="1:15" ht="15" customHeight="1">
      <c r="D28" s="1"/>
      <c r="E28" s="1"/>
    </row>
    <row r="29" spans="1:15" ht="15" customHeight="1">
      <c r="D29" s="1"/>
      <c r="E29" s="1"/>
    </row>
    <row r="30" spans="1:15" ht="15" customHeight="1">
      <c r="F30" s="68"/>
    </row>
    <row r="31" spans="1:15" ht="15" customHeight="1">
      <c r="F31" s="68"/>
    </row>
    <row r="32" spans="1:15" ht="15" customHeight="1">
      <c r="F32" s="68"/>
    </row>
    <row r="33" spans="6:6" ht="15" customHeight="1">
      <c r="F33" s="68"/>
    </row>
    <row r="34" spans="6:6" ht="15" customHeight="1">
      <c r="F34" s="68"/>
    </row>
    <row r="35" spans="6:6" ht="15" customHeight="1">
      <c r="F35" s="68"/>
    </row>
    <row r="36" spans="6:6" ht="15" customHeight="1">
      <c r="F36" s="68"/>
    </row>
    <row r="37" spans="6:6" ht="15" customHeight="1">
      <c r="F37" s="68"/>
    </row>
    <row r="38" spans="6:6" ht="15" customHeight="1">
      <c r="F38" s="68"/>
    </row>
    <row r="39" spans="6:6" ht="15" customHeight="1">
      <c r="F39" s="68"/>
    </row>
    <row r="40" spans="6:6" ht="15" customHeight="1">
      <c r="F40" s="68"/>
    </row>
    <row r="41" spans="6:6" ht="15" customHeight="1">
      <c r="F41" s="68"/>
    </row>
    <row r="42" spans="6:6" ht="15" customHeight="1">
      <c r="F42" s="68"/>
    </row>
    <row r="43" spans="6:6" ht="15" customHeight="1">
      <c r="F43" s="68"/>
    </row>
    <row r="44" spans="6:6" ht="15" customHeight="1">
      <c r="F44" s="68"/>
    </row>
    <row r="45" spans="6:6" ht="15" customHeight="1">
      <c r="F45" s="68"/>
    </row>
    <row r="46" spans="6:6" ht="15" customHeight="1">
      <c r="F46" s="68"/>
    </row>
    <row r="47" spans="6:6" ht="15" customHeight="1">
      <c r="F47" s="68"/>
    </row>
    <row r="48" spans="6:6" ht="15" customHeight="1">
      <c r="F48" s="68"/>
    </row>
    <row r="49" spans="6:6" ht="15" customHeight="1">
      <c r="F49" s="68"/>
    </row>
    <row r="50" spans="6:6" ht="15" customHeight="1">
      <c r="F50" s="68"/>
    </row>
    <row r="51" spans="6:6" ht="15" customHeight="1">
      <c r="F51" s="68"/>
    </row>
    <row r="52" spans="6:6" ht="15" customHeight="1">
      <c r="F52" s="68"/>
    </row>
    <row r="53" spans="6:6" ht="15" customHeight="1">
      <c r="F53" s="68"/>
    </row>
    <row r="54" spans="6:6" ht="15" customHeight="1">
      <c r="F54" s="68"/>
    </row>
    <row r="55" spans="6:6" ht="15" customHeight="1">
      <c r="F55" s="68"/>
    </row>
    <row r="56" spans="6:6" ht="15" customHeight="1">
      <c r="F56" s="68"/>
    </row>
    <row r="57" spans="6:6" ht="15" customHeight="1">
      <c r="F57" s="68"/>
    </row>
    <row r="58" spans="6:6" ht="15" customHeight="1">
      <c r="F58" s="68"/>
    </row>
    <row r="59" spans="6:6" ht="15" customHeight="1">
      <c r="F59" s="68"/>
    </row>
    <row r="60" spans="6:6" ht="15" customHeight="1">
      <c r="F60" s="68"/>
    </row>
    <row r="61" spans="6:6" ht="15" customHeight="1">
      <c r="F61" s="68"/>
    </row>
    <row r="62" spans="6:6" ht="15" customHeight="1">
      <c r="F62" s="68"/>
    </row>
    <row r="63" spans="6:6" ht="15" customHeight="1">
      <c r="F63" s="68"/>
    </row>
    <row r="64" spans="6:6" ht="15" customHeight="1">
      <c r="F64" s="68"/>
    </row>
    <row r="65" spans="6:6" ht="15" customHeight="1">
      <c r="F65" s="68"/>
    </row>
    <row r="66" spans="6:6" ht="15" customHeight="1">
      <c r="F66" s="68"/>
    </row>
    <row r="67" spans="6:6" ht="15" customHeight="1">
      <c r="F67" s="68"/>
    </row>
    <row r="68" spans="6:6" ht="15" customHeight="1">
      <c r="F68" s="68"/>
    </row>
    <row r="69" spans="6:6" ht="15" customHeight="1">
      <c r="F69" s="68"/>
    </row>
    <row r="70" spans="6:6" ht="15" customHeight="1">
      <c r="F70" s="68"/>
    </row>
    <row r="71" spans="6:6" ht="15" customHeight="1">
      <c r="F71" s="68"/>
    </row>
    <row r="72" spans="6:6" ht="15" customHeight="1">
      <c r="F72" s="68"/>
    </row>
    <row r="73" spans="6:6" ht="15" customHeight="1">
      <c r="F73" s="68"/>
    </row>
    <row r="74" spans="6:6" ht="15" customHeight="1">
      <c r="F74" s="68"/>
    </row>
    <row r="75" spans="6:6" ht="15" customHeight="1">
      <c r="F75" s="68"/>
    </row>
    <row r="76" spans="6:6" ht="15" customHeight="1">
      <c r="F76" s="68"/>
    </row>
    <row r="77" spans="6:6" ht="15" customHeight="1">
      <c r="F77" s="68"/>
    </row>
    <row r="78" spans="6:6" ht="15" customHeight="1">
      <c r="F78" s="68"/>
    </row>
    <row r="79" spans="6:6" ht="15" customHeight="1">
      <c r="F79" s="68"/>
    </row>
    <row r="80" spans="6:6" ht="15" customHeight="1">
      <c r="F80" s="68"/>
    </row>
    <row r="81" spans="6:6" ht="15" customHeight="1">
      <c r="F81" s="68"/>
    </row>
    <row r="82" spans="6:6" ht="15" customHeight="1">
      <c r="F82" s="68"/>
    </row>
    <row r="83" spans="6:6" ht="15" customHeight="1">
      <c r="F83" s="68"/>
    </row>
    <row r="84" spans="6:6" ht="15" customHeight="1">
      <c r="F84" s="69"/>
    </row>
    <row r="85" spans="6:6" ht="15" customHeight="1">
      <c r="F85" s="69"/>
    </row>
  </sheetData>
  <sortState xmlns:xlrd2="http://schemas.microsoft.com/office/spreadsheetml/2017/richdata2" ref="A3:O25">
    <sortCondition descending="1" ref="D3"/>
  </sortState>
  <conditionalFormatting sqref="G3:H25 D3:D25">
    <cfRule type="cellIs" dxfId="47" priority="56" operator="between">
      <formula>0.005</formula>
      <formula>0.394999999999999</formula>
    </cfRule>
  </conditionalFormatting>
  <conditionalFormatting sqref="G3:H25 D3:D25">
    <cfRule type="cellIs" dxfId="46" priority="53" operator="between">
      <formula>0.745</formula>
      <formula>1</formula>
    </cfRule>
  </conditionalFormatting>
  <conditionalFormatting sqref="G3:H25 D3:D25">
    <cfRule type="cellIs" dxfId="45" priority="54" operator="between">
      <formula>0.595</formula>
      <formula>0.744999999999999</formula>
    </cfRule>
  </conditionalFormatting>
  <conditionalFormatting sqref="G3:H25 D3:D25">
    <cfRule type="cellIs" dxfId="44" priority="55" operator="between">
      <formula>0.395</formula>
      <formula>0.594999999999999</formula>
    </cfRule>
  </conditionalFormatting>
  <conditionalFormatting sqref="F30:F33">
    <cfRule type="cellIs" dxfId="43" priority="44" operator="between">
      <formula>0.005</formula>
      <formula>0.394999999999999</formula>
    </cfRule>
  </conditionalFormatting>
  <conditionalFormatting sqref="F30:F33">
    <cfRule type="cellIs" dxfId="42" priority="41" operator="between">
      <formula>0.745</formula>
      <formula>1</formula>
    </cfRule>
  </conditionalFormatting>
  <conditionalFormatting sqref="F30:F33">
    <cfRule type="cellIs" dxfId="41" priority="42" operator="between">
      <formula>0.595</formula>
      <formula>0.744999999999999</formula>
    </cfRule>
  </conditionalFormatting>
  <conditionalFormatting sqref="F30:F33">
    <cfRule type="cellIs" dxfId="40" priority="43" operator="between">
      <formula>0.395</formula>
      <formula>0.594999999999999</formula>
    </cfRule>
  </conditionalFormatting>
  <conditionalFormatting sqref="F30:F33">
    <cfRule type="cellIs" dxfId="39" priority="37" operator="between">
      <formula>39.5</formula>
      <formula>59.499999999</formula>
    </cfRule>
    <cfRule type="cellIs" dxfId="38" priority="38" operator="between">
      <formula>1</formula>
      <formula>39.49999999</formula>
    </cfRule>
    <cfRule type="cellIs" dxfId="37" priority="39" operator="between">
      <formula>59.5</formula>
      <formula>74.4999999</formula>
    </cfRule>
    <cfRule type="cellIs" dxfId="36" priority="40" operator="between">
      <formula>74.5</formula>
      <formula>100</formula>
    </cfRule>
  </conditionalFormatting>
  <conditionalFormatting sqref="F34:F83">
    <cfRule type="cellIs" dxfId="35" priority="36" operator="between">
      <formula>0.005</formula>
      <formula>0.394999999999999</formula>
    </cfRule>
  </conditionalFormatting>
  <conditionalFormatting sqref="F34:F83">
    <cfRule type="cellIs" dxfId="34" priority="33" operator="between">
      <formula>0.745</formula>
      <formula>1</formula>
    </cfRule>
  </conditionalFormatting>
  <conditionalFormatting sqref="F34:F83">
    <cfRule type="cellIs" dxfId="33" priority="34" operator="between">
      <formula>0.595</formula>
      <formula>0.744999999999999</formula>
    </cfRule>
  </conditionalFormatting>
  <conditionalFormatting sqref="F34:F83">
    <cfRule type="cellIs" dxfId="32" priority="35" operator="between">
      <formula>0.395</formula>
      <formula>0.594999999999999</formula>
    </cfRule>
  </conditionalFormatting>
  <conditionalFormatting sqref="F34:F83">
    <cfRule type="cellIs" dxfId="31" priority="29" operator="between">
      <formula>39.5</formula>
      <formula>59.499999999</formula>
    </cfRule>
    <cfRule type="cellIs" dxfId="30" priority="30" operator="between">
      <formula>1</formula>
      <formula>39.49999999</formula>
    </cfRule>
    <cfRule type="cellIs" dxfId="29" priority="31" operator="between">
      <formula>59.5</formula>
      <formula>74.4999999</formula>
    </cfRule>
    <cfRule type="cellIs" dxfId="28" priority="32" operator="between">
      <formula>74.5</formula>
      <formula>100</formula>
    </cfRule>
  </conditionalFormatting>
  <conditionalFormatting sqref="F2">
    <cfRule type="cellIs" dxfId="27" priority="25" operator="between">
      <formula>39.5</formula>
      <formula>59.4999999</formula>
    </cfRule>
    <cfRule type="cellIs" dxfId="26" priority="26" operator="between">
      <formula>1</formula>
      <formula>39.499999</formula>
    </cfRule>
    <cfRule type="cellIs" dxfId="25" priority="27" operator="between">
      <formula>59.5</formula>
      <formula>70.4999</formula>
    </cfRule>
    <cfRule type="cellIs" dxfId="24" priority="28" operator="between">
      <formula>70.499</formula>
      <formula>100</formula>
    </cfRule>
  </conditionalFormatting>
  <conditionalFormatting sqref="F3:F22">
    <cfRule type="cellIs" dxfId="23" priority="24" operator="between">
      <formula>0.005</formula>
      <formula>0.394999999999999</formula>
    </cfRule>
  </conditionalFormatting>
  <conditionalFormatting sqref="F3:F22">
    <cfRule type="cellIs" dxfId="22" priority="21" operator="between">
      <formula>0.745</formula>
      <formula>1</formula>
    </cfRule>
  </conditionalFormatting>
  <conditionalFormatting sqref="F3:F22">
    <cfRule type="cellIs" dxfId="21" priority="22" operator="between">
      <formula>0.595</formula>
      <formula>0.744999999999999</formula>
    </cfRule>
  </conditionalFormatting>
  <conditionalFormatting sqref="F3:F22">
    <cfRule type="cellIs" dxfId="20" priority="23" operator="between">
      <formula>0.395</formula>
      <formula>0.594999999999999</formula>
    </cfRule>
  </conditionalFormatting>
  <conditionalFormatting sqref="F3:F22">
    <cfRule type="cellIs" dxfId="19" priority="17" operator="between">
      <formula>39.5</formula>
      <formula>59.499999999</formula>
    </cfRule>
    <cfRule type="cellIs" dxfId="18" priority="18" operator="between">
      <formula>1</formula>
      <formula>39.49999999</formula>
    </cfRule>
    <cfRule type="cellIs" dxfId="17" priority="19" operator="between">
      <formula>59.5</formula>
      <formula>74.4999999</formula>
    </cfRule>
    <cfRule type="cellIs" dxfId="16" priority="20" operator="between">
      <formula>74.5</formula>
      <formula>100</formula>
    </cfRule>
  </conditionalFormatting>
  <conditionalFormatting sqref="E3:E22">
    <cfRule type="cellIs" dxfId="15" priority="16" operator="between">
      <formula>0.005</formula>
      <formula>0.394999999999999</formula>
    </cfRule>
  </conditionalFormatting>
  <conditionalFormatting sqref="E3:E22">
    <cfRule type="cellIs" dxfId="14" priority="13" operator="between">
      <formula>0.745</formula>
      <formula>1</formula>
    </cfRule>
  </conditionalFormatting>
  <conditionalFormatting sqref="E3:E22">
    <cfRule type="cellIs" dxfId="13" priority="14" operator="between">
      <formula>0.595</formula>
      <formula>0.744999999999999</formula>
    </cfRule>
  </conditionalFormatting>
  <conditionalFormatting sqref="E3:E22">
    <cfRule type="cellIs" dxfId="12" priority="15" operator="between">
      <formula>0.395</formula>
      <formula>0.594999999999999</formula>
    </cfRule>
  </conditionalFormatting>
  <conditionalFormatting sqref="F23:F25">
    <cfRule type="cellIs" dxfId="11" priority="12" operator="between">
      <formula>0.005</formula>
      <formula>0.394999999999999</formula>
    </cfRule>
  </conditionalFormatting>
  <conditionalFormatting sqref="F23:F25">
    <cfRule type="cellIs" dxfId="10" priority="9" operator="between">
      <formula>0.745</formula>
      <formula>1</formula>
    </cfRule>
  </conditionalFormatting>
  <conditionalFormatting sqref="F23:F25">
    <cfRule type="cellIs" dxfId="9" priority="10" operator="between">
      <formula>0.595</formula>
      <formula>0.744999999999999</formula>
    </cfRule>
  </conditionalFormatting>
  <conditionalFormatting sqref="F23:F25">
    <cfRule type="cellIs" dxfId="8" priority="11" operator="between">
      <formula>0.395</formula>
      <formula>0.594999999999999</formula>
    </cfRule>
  </conditionalFormatting>
  <conditionalFormatting sqref="F23:F25">
    <cfRule type="cellIs" dxfId="7" priority="5" operator="between">
      <formula>39.5</formula>
      <formula>59.499999999</formula>
    </cfRule>
    <cfRule type="cellIs" dxfId="6" priority="6" operator="between">
      <formula>1</formula>
      <formula>39.49999999</formula>
    </cfRule>
    <cfRule type="cellIs" dxfId="5" priority="7" operator="between">
      <formula>59.5</formula>
      <formula>74.4999999</formula>
    </cfRule>
    <cfRule type="cellIs" dxfId="4" priority="8" operator="between">
      <formula>74.5</formula>
      <formula>100</formula>
    </cfRule>
  </conditionalFormatting>
  <conditionalFormatting sqref="E23:E25">
    <cfRule type="cellIs" dxfId="3" priority="4" operator="between">
      <formula>0.005</formula>
      <formula>0.394999999999999</formula>
    </cfRule>
  </conditionalFormatting>
  <conditionalFormatting sqref="E23:E25">
    <cfRule type="cellIs" dxfId="2" priority="1" operator="between">
      <formula>0.745</formula>
      <formula>1</formula>
    </cfRule>
  </conditionalFormatting>
  <conditionalFormatting sqref="E23:E25">
    <cfRule type="cellIs" dxfId="1" priority="2" operator="between">
      <formula>0.595</formula>
      <formula>0.744999999999999</formula>
    </cfRule>
  </conditionalFormatting>
  <conditionalFormatting sqref="E23:E25">
    <cfRule type="cellIs" dxfId="0" priority="3" operator="between">
      <formula>0.395</formula>
      <formula>0.594999999999999</formula>
    </cfRule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918E0-3BEF-46CF-BF22-58738CD07607}">
  <sheetPr codeName="Sheet14"/>
  <dimension ref="A1:E2"/>
  <sheetViews>
    <sheetView workbookViewId="0">
      <selection sqref="A1:A1048576"/>
    </sheetView>
  </sheetViews>
  <sheetFormatPr defaultColWidth="9.140625" defaultRowHeight="15.75"/>
  <cols>
    <col min="1" max="1" width="9.140625" style="104"/>
    <col min="2" max="5" width="12.7109375" style="104" customWidth="1"/>
    <col min="6" max="16384" width="9.140625" style="103"/>
  </cols>
  <sheetData>
    <row r="1" spans="1:5">
      <c r="A1" s="104" t="s">
        <v>19</v>
      </c>
      <c r="B1" s="104" t="s">
        <v>455</v>
      </c>
      <c r="C1" s="104" t="s">
        <v>456</v>
      </c>
      <c r="D1" s="104" t="s">
        <v>457</v>
      </c>
      <c r="E1" s="104" t="s">
        <v>458</v>
      </c>
    </row>
    <row r="2" spans="1:5">
      <c r="A2" s="104" t="s">
        <v>204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Disney (2010s)</vt:lpstr>
      <vt:lpstr>Disney20-</vt:lpstr>
      <vt:lpstr>Disney+</vt:lpstr>
      <vt:lpstr>WB (2010s)</vt:lpstr>
      <vt:lpstr>FOX2019</vt:lpstr>
      <vt:lpstr>UNI2017</vt:lpstr>
      <vt:lpstr>HTTYD</vt:lpstr>
      <vt:lpstr>Sheet2</vt:lpstr>
      <vt:lpstr>Pixar</vt:lpstr>
      <vt:lpstr>Pixar (2)</vt:lpstr>
      <vt:lpstr>Sheet1</vt:lpstr>
      <vt:lpstr>Sheet3</vt:lpstr>
      <vt:lpstr>ani</vt:lpstr>
      <vt:lpstr>MCU</vt:lpstr>
      <vt:lpstr>Thursday Tracker</vt:lpstr>
      <vt:lpstr>Bottom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Nguyen</dc:creator>
  <cp:lastModifiedBy>Robert Nguyen</cp:lastModifiedBy>
  <dcterms:created xsi:type="dcterms:W3CDTF">2016-02-14T03:36:32Z</dcterms:created>
  <dcterms:modified xsi:type="dcterms:W3CDTF">2021-05-17T00:49:58Z</dcterms:modified>
</cp:coreProperties>
</file>